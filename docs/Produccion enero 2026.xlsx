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lorenavargas/Dropbox/PINTECH/BEPRO/"/>
    </mc:Choice>
  </mc:AlternateContent>
  <xr:revisionPtr revIDLastSave="0" documentId="8_{86556ACB-609A-434A-BE5B-D0AE3E99F81C}" xr6:coauthVersionLast="47" xr6:coauthVersionMax="47" xr10:uidLastSave="{00000000-0000-0000-0000-000000000000}"/>
  <bookViews>
    <workbookView xWindow="22560" yWindow="500" windowWidth="25080" windowHeight="27160" xr2:uid="{00000000-000D-0000-FFFF-FFFF00000000}"/>
  </bookViews>
  <sheets>
    <sheet name="Produccion de enero" sheetId="28" r:id="rId1"/>
  </sheets>
  <definedNames>
    <definedName name="ExportarAExc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3" i="28" l="1"/>
  <c r="G441" i="28"/>
  <c r="G440" i="28"/>
  <c r="G439" i="28"/>
  <c r="G438" i="28"/>
  <c r="G437" i="28"/>
  <c r="G436" i="28"/>
  <c r="G435" i="28"/>
  <c r="G434" i="28"/>
  <c r="G433" i="28"/>
  <c r="G432" i="28"/>
  <c r="G431" i="28"/>
  <c r="G430" i="28"/>
  <c r="G429" i="28"/>
  <c r="G428" i="28"/>
  <c r="G427" i="28"/>
  <c r="G426" i="28"/>
  <c r="G425" i="28"/>
  <c r="G423" i="28"/>
  <c r="G422" i="28"/>
  <c r="G421" i="28"/>
  <c r="G420" i="28"/>
  <c r="G419" i="28"/>
  <c r="G418" i="28"/>
  <c r="G417" i="28"/>
  <c r="G416" i="28"/>
  <c r="G415" i="28"/>
  <c r="G414" i="28"/>
  <c r="G413" i="28"/>
  <c r="G412" i="28"/>
  <c r="G411" i="28"/>
  <c r="G408" i="28"/>
  <c r="G407" i="28"/>
  <c r="G406" i="28"/>
  <c r="G404" i="28"/>
  <c r="G403" i="28"/>
  <c r="G401" i="28"/>
  <c r="G400" i="28"/>
  <c r="G399" i="28"/>
  <c r="G398" i="28"/>
  <c r="G397" i="28"/>
  <c r="G396" i="28"/>
  <c r="G394" i="28"/>
  <c r="G393" i="28"/>
  <c r="G392" i="28"/>
  <c r="G391" i="28"/>
  <c r="G390" i="28"/>
  <c r="G389" i="28"/>
  <c r="G388" i="28"/>
  <c r="G387" i="28"/>
  <c r="G386" i="28"/>
  <c r="G385" i="28"/>
  <c r="G384" i="28"/>
  <c r="G383" i="28"/>
  <c r="G382" i="28"/>
  <c r="G381" i="28"/>
  <c r="G379" i="28"/>
  <c r="G378" i="28"/>
  <c r="G377" i="28"/>
  <c r="G376" i="28"/>
  <c r="G375" i="28"/>
  <c r="G374" i="28"/>
  <c r="G373" i="28"/>
  <c r="G372" i="28"/>
  <c r="G371" i="28"/>
  <c r="G370" i="28"/>
  <c r="G369" i="28"/>
  <c r="G367" i="28"/>
  <c r="G366" i="28"/>
  <c r="G365" i="28"/>
  <c r="G364" i="28"/>
  <c r="G363" i="28"/>
  <c r="G362" i="28"/>
  <c r="G358" i="28"/>
  <c r="G357" i="28"/>
  <c r="G356" i="28"/>
  <c r="G355" i="28"/>
  <c r="G354" i="28"/>
  <c r="G351" i="28"/>
  <c r="G350" i="28"/>
  <c r="G349" i="28"/>
  <c r="G348" i="28"/>
  <c r="G347" i="28"/>
  <c r="G346" i="28"/>
  <c r="G345" i="28"/>
  <c r="G344" i="28"/>
  <c r="G343" i="28"/>
  <c r="G342" i="28"/>
  <c r="G339" i="28"/>
  <c r="G338" i="28"/>
  <c r="G337" i="28"/>
  <c r="G336" i="28"/>
  <c r="G335" i="28"/>
  <c r="G334" i="28"/>
  <c r="G333" i="28"/>
  <c r="G332" i="28"/>
  <c r="G331" i="28"/>
  <c r="G330" i="28"/>
  <c r="G329" i="28"/>
  <c r="G327" i="28"/>
  <c r="G326" i="28"/>
  <c r="G325" i="28"/>
  <c r="G324" i="28"/>
  <c r="G321" i="28"/>
  <c r="G320" i="28"/>
  <c r="G319" i="28"/>
  <c r="G318" i="28"/>
  <c r="G317" i="28"/>
  <c r="G316" i="28"/>
  <c r="G315" i="28"/>
  <c r="G314" i="28"/>
  <c r="G313" i="28"/>
  <c r="G312" i="28"/>
  <c r="G311" i="28"/>
  <c r="G310" i="28"/>
  <c r="G309" i="28"/>
  <c r="G307" i="28"/>
  <c r="G306" i="28"/>
  <c r="G304" i="28"/>
  <c r="G303" i="28"/>
  <c r="G302" i="28"/>
  <c r="G301" i="28"/>
  <c r="G300" i="28"/>
  <c r="G299" i="28"/>
  <c r="G298" i="28"/>
  <c r="G297" i="28"/>
  <c r="G296" i="28"/>
  <c r="G295" i="28"/>
  <c r="G294" i="28"/>
  <c r="G292" i="28"/>
  <c r="G291" i="28"/>
  <c r="G290" i="28"/>
  <c r="G289" i="28"/>
  <c r="G288" i="28"/>
  <c r="G287" i="28"/>
  <c r="G286" i="28"/>
  <c r="G285" i="28"/>
  <c r="G284" i="28"/>
  <c r="G283" i="28"/>
  <c r="G282" i="28"/>
  <c r="G276" i="28"/>
  <c r="G275" i="28"/>
  <c r="G274" i="28"/>
  <c r="G273" i="28"/>
  <c r="G271" i="28"/>
  <c r="G270" i="28"/>
  <c r="G268" i="28"/>
  <c r="G267" i="28"/>
  <c r="G266" i="28"/>
  <c r="G265" i="28"/>
  <c r="G264" i="28"/>
  <c r="G263" i="28"/>
  <c r="G262" i="28"/>
  <c r="G261" i="28"/>
  <c r="G260" i="28"/>
  <c r="G259" i="28"/>
  <c r="G258" i="28"/>
  <c r="G254" i="28"/>
  <c r="G253" i="28"/>
  <c r="G252" i="28"/>
  <c r="G251" i="28"/>
  <c r="G250" i="28"/>
  <c r="G249" i="28"/>
  <c r="G248" i="28"/>
  <c r="G247" i="28"/>
  <c r="G245" i="28"/>
  <c r="G244" i="28"/>
  <c r="G243" i="28"/>
  <c r="G242" i="28"/>
  <c r="G232" i="28"/>
  <c r="G231" i="28"/>
  <c r="G229" i="28"/>
  <c r="G228" i="28"/>
  <c r="G227" i="28"/>
  <c r="G226" i="28"/>
  <c r="G225" i="28"/>
  <c r="G224" i="28"/>
  <c r="G223" i="28"/>
  <c r="G222" i="28"/>
  <c r="G221" i="28"/>
  <c r="G220" i="28"/>
  <c r="G219" i="28"/>
  <c r="G218" i="28"/>
  <c r="G216" i="28"/>
  <c r="G215" i="28"/>
  <c r="G214" i="28"/>
  <c r="G213" i="28"/>
  <c r="G212" i="28"/>
  <c r="G211" i="28"/>
  <c r="G210" i="28"/>
  <c r="G209" i="28"/>
  <c r="G208" i="28"/>
  <c r="G207" i="28"/>
  <c r="G206" i="28"/>
  <c r="G205" i="28"/>
  <c r="G204" i="28"/>
  <c r="G203" i="28"/>
  <c r="G202" i="28"/>
  <c r="G201" i="28"/>
  <c r="G200" i="28"/>
  <c r="G199" i="28"/>
  <c r="G198" i="28"/>
  <c r="G197" i="28"/>
  <c r="G196" i="28"/>
  <c r="G195" i="28"/>
  <c r="G192" i="28"/>
  <c r="G191" i="28"/>
  <c r="G190" i="28"/>
  <c r="G189" i="28"/>
  <c r="G188" i="28"/>
  <c r="G187" i="28"/>
  <c r="G186" i="28"/>
  <c r="G185" i="28"/>
  <c r="G184" i="28"/>
  <c r="G183" i="28"/>
  <c r="G182" i="28"/>
  <c r="G181" i="28"/>
  <c r="G180" i="28"/>
  <c r="G179" i="28"/>
  <c r="G177" i="28"/>
  <c r="G176" i="28"/>
  <c r="G175" i="28"/>
  <c r="G174" i="28"/>
  <c r="G173" i="28"/>
  <c r="G172" i="28"/>
  <c r="G171" i="28"/>
  <c r="G170" i="28"/>
  <c r="G169" i="28"/>
  <c r="G168" i="28"/>
  <c r="G167" i="28"/>
  <c r="G166" i="28"/>
  <c r="G165" i="28"/>
  <c r="G164" i="28"/>
  <c r="G163" i="28"/>
  <c r="G162" i="28"/>
  <c r="G142" i="28"/>
  <c r="G141" i="28"/>
  <c r="G140" i="28"/>
  <c r="G139" i="28"/>
  <c r="G138" i="28"/>
  <c r="G137" i="28"/>
  <c r="G136" i="28"/>
  <c r="G135" i="28"/>
  <c r="G134" i="28"/>
  <c r="G133" i="28"/>
  <c r="G132" i="28"/>
  <c r="G130" i="28"/>
  <c r="G129" i="28"/>
  <c r="G128" i="28"/>
  <c r="G126" i="28"/>
  <c r="G125" i="28"/>
  <c r="G124" i="28"/>
  <c r="G123" i="28"/>
  <c r="G122" i="28"/>
  <c r="G121" i="28"/>
  <c r="G120" i="28"/>
  <c r="G119" i="28"/>
  <c r="G118" i="28"/>
  <c r="G117" i="28"/>
  <c r="G116" i="28"/>
  <c r="G115" i="28"/>
  <c r="G114" i="28"/>
  <c r="G113" i="28"/>
  <c r="G112" i="28"/>
  <c r="G111" i="28"/>
  <c r="G110" i="28"/>
  <c r="G109" i="28"/>
  <c r="G108" i="28"/>
  <c r="G106" i="28"/>
  <c r="G105" i="28"/>
  <c r="G104" i="28"/>
  <c r="G103" i="28"/>
  <c r="G102" i="28"/>
  <c r="G101" i="28"/>
  <c r="G100" i="28"/>
  <c r="G99" i="28"/>
  <c r="G97" i="28"/>
  <c r="G96" i="28"/>
  <c r="G95" i="28"/>
  <c r="G94" i="28"/>
  <c r="G93" i="28"/>
  <c r="G92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6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59" i="28"/>
  <c r="G58" i="28"/>
  <c r="G57" i="28"/>
  <c r="G56" i="28"/>
  <c r="G55" i="28"/>
  <c r="G53" i="28"/>
  <c r="G52" i="28"/>
  <c r="G51" i="28"/>
  <c r="G50" i="28"/>
  <c r="G49" i="28"/>
  <c r="G48" i="28"/>
  <c r="G47" i="28"/>
  <c r="G46" i="28"/>
  <c r="G43" i="28"/>
  <c r="G42" i="28"/>
  <c r="G32" i="28"/>
  <c r="G31" i="28"/>
  <c r="G30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1" i="28"/>
  <c r="G10" i="28"/>
  <c r="G9" i="28"/>
  <c r="G8" i="28"/>
  <c r="G7" i="28"/>
  <c r="G5" i="28"/>
  <c r="G4" i="28"/>
  <c r="G3" i="28"/>
  <c r="G2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.pc</author>
  </authors>
  <commentList>
    <comment ref="F100" authorId="0" shapeId="0" xr:uid="{B8A5103A-1BBA-8241-968D-0584B94BF7F5}">
      <text>
        <r>
          <rPr>
            <b/>
            <sz val="9"/>
            <color rgb="FF000000"/>
            <rFont val="Tahoma"/>
            <family val="2"/>
          </rPr>
          <t>.pc: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TRAIDO DEL ALMACEN CALI</t>
        </r>
      </text>
    </comment>
    <comment ref="F101" authorId="0" shapeId="0" xr:uid="{D6A5066F-92CE-8B43-A3A4-9D0955C7F63D}">
      <text>
        <r>
          <rPr>
            <b/>
            <sz val="9"/>
            <color rgb="FF000000"/>
            <rFont val="Tahoma"/>
            <family val="2"/>
          </rPr>
          <t>.pc: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TRAIDO DEL ALMACEN CALI</t>
        </r>
      </text>
    </comment>
    <comment ref="E116" authorId="0" shapeId="0" xr:uid="{99339B02-C9D4-3442-955D-FD0C51944CA3}">
      <text>
        <r>
          <rPr>
            <b/>
            <sz val="9"/>
            <color rgb="FF000000"/>
            <rFont val="Tahoma"/>
            <family val="2"/>
          </rPr>
          <t>.pc: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VERDE ESMERALDA</t>
        </r>
      </text>
    </comment>
    <comment ref="E117" authorId="0" shapeId="0" xr:uid="{34711512-14F3-B64B-A821-DC48AD6C913B}">
      <text>
        <r>
          <rPr>
            <b/>
            <sz val="9"/>
            <color rgb="FF000000"/>
            <rFont val="Tahoma"/>
            <family val="2"/>
          </rPr>
          <t>.pc: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VERDE FTALO
</t>
        </r>
      </text>
    </comment>
    <comment ref="E118" authorId="0" shapeId="0" xr:uid="{6A996914-8426-E74A-8169-B1C267C070A2}">
      <text>
        <r>
          <rPr>
            <b/>
            <sz val="9"/>
            <color rgb="FF000000"/>
            <rFont val="Tahoma"/>
            <family val="2"/>
          </rPr>
          <t xml:space="preserve">PC
</t>
        </r>
        <r>
          <rPr>
            <sz val="9"/>
            <color rgb="FF000000"/>
            <rFont val="Tahoma"/>
            <family val="2"/>
          </rPr>
          <t>NEGRO</t>
        </r>
      </text>
    </comment>
  </commentList>
</comments>
</file>

<file path=xl/sharedStrings.xml><?xml version="1.0" encoding="utf-8"?>
<sst xmlns="http://schemas.openxmlformats.org/spreadsheetml/2006/main" count="1401" uniqueCount="249">
  <si>
    <t>UBICACIÓN</t>
  </si>
  <si>
    <t>CONSECUTIVO EN FICHA</t>
  </si>
  <si>
    <t>FECHA DD/MM/AA</t>
  </si>
  <si>
    <t>MEDIDAS (KG-GR-GL - CUÑ)</t>
  </si>
  <si>
    <t>NOMBRE</t>
  </si>
  <si>
    <t>CANTIDAD KG</t>
  </si>
  <si>
    <t>PORCENTAJE</t>
  </si>
  <si>
    <t>OBSERVACIONES-FIRMA DE CONTROL DE REGISTRO DE KARDEX</t>
  </si>
  <si>
    <t>ENTRADA PRODUCTO TERMINADO</t>
  </si>
  <si>
    <t>HOJA 1</t>
  </si>
  <si>
    <t>KG</t>
  </si>
  <si>
    <t>S - 7</t>
  </si>
  <si>
    <t>OP 001 AJUSTADOR EPOXICO IE - 400 FM</t>
  </si>
  <si>
    <t>EPT 998</t>
  </si>
  <si>
    <t>S - 11</t>
  </si>
  <si>
    <t>S - 4</t>
  </si>
  <si>
    <t>S - 5</t>
  </si>
  <si>
    <t>UND</t>
  </si>
  <si>
    <t>ENV. PLASTICO BIDON</t>
  </si>
  <si>
    <t>N/A</t>
  </si>
  <si>
    <t>OP 002 Ajustador Poliuretano IP 350</t>
  </si>
  <si>
    <t>EPT 999</t>
  </si>
  <si>
    <t>S - 10</t>
  </si>
  <si>
    <t>S - 6</t>
  </si>
  <si>
    <t>OP 002 Ajustador Poliuretano IP 350 - 1 TAMBOR</t>
  </si>
  <si>
    <t>R - 8 P</t>
  </si>
  <si>
    <t>OP 003 CATALIZADOR PU UNIVERSAL 2K 60/40</t>
  </si>
  <si>
    <t>EPT 1000</t>
  </si>
  <si>
    <t>ENV. METALICO GALON TAPA FLEX</t>
  </si>
  <si>
    <t>ENV. METALICO 1/4 FLEX</t>
  </si>
  <si>
    <t>S - 14</t>
  </si>
  <si>
    <t>OP 004 EPOXI NOVOLAC BLANCO - 100</t>
  </si>
  <si>
    <t>EPT 1002</t>
  </si>
  <si>
    <t>ABS - 2 CC</t>
  </si>
  <si>
    <t>R - 18</t>
  </si>
  <si>
    <t>R - 1 A</t>
  </si>
  <si>
    <t>R - 1</t>
  </si>
  <si>
    <t>ABS - 1 PU</t>
  </si>
  <si>
    <t>C - 3</t>
  </si>
  <si>
    <t>C - 5</t>
  </si>
  <si>
    <t>C - 8</t>
  </si>
  <si>
    <t>C - 9</t>
  </si>
  <si>
    <t>ABS - 15</t>
  </si>
  <si>
    <t>ABS - 3 PU</t>
  </si>
  <si>
    <t>VACIO</t>
  </si>
  <si>
    <t>ENV. METALICO CUÑETE BP</t>
  </si>
  <si>
    <t>ENV. METALICO GALON BP</t>
  </si>
  <si>
    <t>A - 3 A</t>
  </si>
  <si>
    <t>OP 005 CATALIZADOR EPOXY NOVOLAC 100</t>
  </si>
  <si>
    <t>EPT 1003</t>
  </si>
  <si>
    <t>A - 3 C</t>
  </si>
  <si>
    <t>R - 17</t>
  </si>
  <si>
    <t>HOJA 2</t>
  </si>
  <si>
    <t>OP 007 Ajustador IA - 500</t>
  </si>
  <si>
    <t>EPT 1004</t>
  </si>
  <si>
    <t>S - 3</t>
  </si>
  <si>
    <t>ESM. INDUSTRIAL TINTEABLE</t>
  </si>
  <si>
    <t xml:space="preserve">ESMALTE IND RAL 7016 </t>
  </si>
  <si>
    <t>EPT 1005</t>
  </si>
  <si>
    <t>P - 15</t>
  </si>
  <si>
    <t>P - 19</t>
  </si>
  <si>
    <t>P - 21</t>
  </si>
  <si>
    <t>P - 22</t>
  </si>
  <si>
    <t>P - 20 B</t>
  </si>
  <si>
    <t>PASTA BP AMARILLO LIMON</t>
  </si>
  <si>
    <t>ESM. IND. BLANCO MATE</t>
  </si>
  <si>
    <t>PRIMER EPOXICO TINTEABLE</t>
  </si>
  <si>
    <t>PRIMER HS 2K RAL 6024</t>
  </si>
  <si>
    <t>EPT 1006</t>
  </si>
  <si>
    <t>PASTA EPOXICA AMARILLO</t>
  </si>
  <si>
    <t>PASTA EPOXICA VERDE BEPRO</t>
  </si>
  <si>
    <t>P - 3</t>
  </si>
  <si>
    <t>PRIMER EPOXICO BLANCO</t>
  </si>
  <si>
    <t>R - 4</t>
  </si>
  <si>
    <t>OP 006 ESMALTE SINTETICO 2 EN 1 SEMI MATE NEGRO</t>
  </si>
  <si>
    <t>EPT 1007</t>
  </si>
  <si>
    <t>ABS - 3</t>
  </si>
  <si>
    <t>ABS - 7 ALQ</t>
  </si>
  <si>
    <t>C - 6 M</t>
  </si>
  <si>
    <t>C - 7</t>
  </si>
  <si>
    <t>ABS - 9</t>
  </si>
  <si>
    <t>ABS - 10</t>
  </si>
  <si>
    <t>ABS - 11</t>
  </si>
  <si>
    <t>ABS - 12</t>
  </si>
  <si>
    <t>R - 5</t>
  </si>
  <si>
    <t>OP 008 PRIMER EPOXICO HS 2K rapido secado claro</t>
  </si>
  <si>
    <t>EPT 1008</t>
  </si>
  <si>
    <t>ABS - 7</t>
  </si>
  <si>
    <t>HOJA 3</t>
  </si>
  <si>
    <t>P - 8</t>
  </si>
  <si>
    <t>C - 6</t>
  </si>
  <si>
    <t>ABS - 5 P</t>
  </si>
  <si>
    <t>ABS - 4 R</t>
  </si>
  <si>
    <t>ENV. METALICO CUÑETE CIN</t>
  </si>
  <si>
    <t>R - 6 S (70%)</t>
  </si>
  <si>
    <t>OP 009 Catalizador Primer Epoxico hs 2k fnda</t>
  </si>
  <si>
    <t>EPT 1009</t>
  </si>
  <si>
    <t>ABS - 14 E</t>
  </si>
  <si>
    <t>ENV. METALICO GALON CIN</t>
  </si>
  <si>
    <t>ESM. PU BLANCO 9016</t>
  </si>
  <si>
    <t>ESMALTE POLIURETANO DTM RAL 9002</t>
  </si>
  <si>
    <t>EPT 1011</t>
  </si>
  <si>
    <t>ESM. PU OCRE BP</t>
  </si>
  <si>
    <t>ESM. PU NEGRO BP</t>
  </si>
  <si>
    <t>OP 010 Ajustador Poliuretano IP 350</t>
  </si>
  <si>
    <t>EPT 1010</t>
  </si>
  <si>
    <t>ESM. IND. BLANCO</t>
  </si>
  <si>
    <t>ESMALTE 2 EN 1 AZUL IMECOL - PIN</t>
  </si>
  <si>
    <t>EPT 1012</t>
  </si>
  <si>
    <t>ESM. TINTEABLE 2 EN 1</t>
  </si>
  <si>
    <t>PRIMER EPOXICO GRIS</t>
  </si>
  <si>
    <t>PRIMER EPOXICO HS 2K RAL 9006</t>
  </si>
  <si>
    <t>EPT 1013</t>
  </si>
  <si>
    <t>ESMALTE 2 EN 1 VERDE ESMERALDA IMECOL</t>
  </si>
  <si>
    <t>EPT 1014</t>
  </si>
  <si>
    <t>P - 18</t>
  </si>
  <si>
    <t>R - 9</t>
  </si>
  <si>
    <t>OP 012 Trafico Acrilica Amarillo</t>
  </si>
  <si>
    <t>EPT 1015</t>
  </si>
  <si>
    <t>ABS - 2</t>
  </si>
  <si>
    <t>HOJA 4</t>
  </si>
  <si>
    <t>P - 16</t>
  </si>
  <si>
    <t>PRIMER EPOXICO TINTEABLE (13 CUÑETES)</t>
  </si>
  <si>
    <t>ESMALTE EPOXICO ROJO OPCC 011 DEL 09 ENE 2026 LOTE 1483 DEL 09 ENE 26</t>
  </si>
  <si>
    <t>EPT 1016</t>
  </si>
  <si>
    <t>PRIMER EPOXICO ROJO P</t>
  </si>
  <si>
    <t>PASTA EPOXICA ROJA</t>
  </si>
  <si>
    <t>ESMALTE EPOXICO ROJO</t>
  </si>
  <si>
    <t>R - 5 C</t>
  </si>
  <si>
    <t>OP 011 PRIMER EPOXICO HS 2K tiniable</t>
  </si>
  <si>
    <t>EPT N/A</t>
  </si>
  <si>
    <t>ABS - 5</t>
  </si>
  <si>
    <t>HOJA 5</t>
  </si>
  <si>
    <t>OP 011B PRIMER EPOXICO HS 2K PASTA rojo org</t>
  </si>
  <si>
    <t>P - 11</t>
  </si>
  <si>
    <t>P - 12</t>
  </si>
  <si>
    <t>R - 7 A</t>
  </si>
  <si>
    <t>OP 015 ENTONADOR POLIURETANO OCRE</t>
  </si>
  <si>
    <t>EPT 1022</t>
  </si>
  <si>
    <t>C - 11</t>
  </si>
  <si>
    <t>ABS - 4</t>
  </si>
  <si>
    <t>ABS - 6</t>
  </si>
  <si>
    <t>OP 016 ESMALTE POLIURETANO BLANCO molino sec lent intum</t>
  </si>
  <si>
    <t>EPT 1023</t>
  </si>
  <si>
    <t>C - 3 POL P</t>
  </si>
  <si>
    <t>C - 13</t>
  </si>
  <si>
    <t>ABS - 4 POL P</t>
  </si>
  <si>
    <t>S - 11 R</t>
  </si>
  <si>
    <t>S - 8 B</t>
  </si>
  <si>
    <t>S - 9 R</t>
  </si>
  <si>
    <t>ESM. PU BLANCO</t>
  </si>
  <si>
    <t>CONVERTIR BLANCO PU BLANCO A 9016</t>
  </si>
  <si>
    <t>EPT 1018</t>
  </si>
  <si>
    <t>ESM. PU AMARILLO CLARO</t>
  </si>
  <si>
    <t>ESM. PU VERDE FTALO</t>
  </si>
  <si>
    <t>9016 A 9002 (1)</t>
  </si>
  <si>
    <t>HOJA 6</t>
  </si>
  <si>
    <t>9016 A 9002 (2)</t>
  </si>
  <si>
    <t>R - 14</t>
  </si>
  <si>
    <t>OP 013 PASTA/BASE MATEANTE</t>
  </si>
  <si>
    <t>EPT 1028</t>
  </si>
  <si>
    <t>ABS - 16</t>
  </si>
  <si>
    <t>R - 15</t>
  </si>
  <si>
    <t>VERDE ESMERALDA 2 EN 1</t>
  </si>
  <si>
    <t>EPT 1030</t>
  </si>
  <si>
    <t>TAMBOR AP - 100</t>
  </si>
  <si>
    <t>EPT 1029</t>
  </si>
  <si>
    <t xml:space="preserve">1 tambor </t>
  </si>
  <si>
    <t>AGUA DESTILADA</t>
  </si>
  <si>
    <t>OP 018 Convertidor de Oxido AG</t>
  </si>
  <si>
    <t>EPT 1025</t>
  </si>
  <si>
    <t>A - 5</t>
  </si>
  <si>
    <t>O - 3</t>
  </si>
  <si>
    <t>A - 8</t>
  </si>
  <si>
    <t>ABA - 3</t>
  </si>
  <si>
    <t>DMT BLANCO (2 CUÑ + 2 GAL)</t>
  </si>
  <si>
    <t>EPT 1027</t>
  </si>
  <si>
    <t>HOJA 7</t>
  </si>
  <si>
    <t>OP 022 AJUSTADOR EPOXICO IE - 400 FM</t>
  </si>
  <si>
    <t>EPT 1031</t>
  </si>
  <si>
    <t>S - 11 S</t>
  </si>
  <si>
    <t>OP 019 Esmalte para agregar pastas</t>
  </si>
  <si>
    <t>EPT 1032</t>
  </si>
  <si>
    <t>ABS - 10 P</t>
  </si>
  <si>
    <t>ABS - 11 P</t>
  </si>
  <si>
    <t>OP 020 PASTA PARA TINTURAR ESMALTE 2 EN 1</t>
  </si>
  <si>
    <t>EPT 1035</t>
  </si>
  <si>
    <t>R - 3</t>
  </si>
  <si>
    <t>OP 021 Ajustador Poliuretano IP 350</t>
  </si>
  <si>
    <t>EPT 1034</t>
  </si>
  <si>
    <t>2 EN 1 VERDE ESMERALDA</t>
  </si>
  <si>
    <t>EPT 1017</t>
  </si>
  <si>
    <t>S - 7 R</t>
  </si>
  <si>
    <t>ENV. PLASTICO GALON</t>
  </si>
  <si>
    <t>EPT 1019</t>
  </si>
  <si>
    <t>HOJA 8</t>
  </si>
  <si>
    <t>OP 014 ENTONADOR POLIURETANO NEGRO</t>
  </si>
  <si>
    <t>EPT 1033</t>
  </si>
  <si>
    <t>P - 5</t>
  </si>
  <si>
    <t>ABS - 4 P</t>
  </si>
  <si>
    <t>S - 8 B - S - 1 :)</t>
  </si>
  <si>
    <t>OP 021 B POLIESTER - ALUMINIO LENT. EXTRA FINO AP 301 - 608</t>
  </si>
  <si>
    <t>EPT 1036</t>
  </si>
  <si>
    <t>S - 12</t>
  </si>
  <si>
    <t>P - 608</t>
  </si>
  <si>
    <t>OP 025 CATALIZADOR EPOXY NOVOLAC 70 RF con R-17</t>
  </si>
  <si>
    <t>EPT 1037</t>
  </si>
  <si>
    <t>OP 024 PRIMER EPOXICO HS 2K rapido secado gris claro</t>
  </si>
  <si>
    <t>EPT 1038</t>
  </si>
  <si>
    <t>HOJA 9</t>
  </si>
  <si>
    <t>OP 030 AJUSTADOR EPOXICO IE - 400 FM</t>
  </si>
  <si>
    <t>EPT 1042</t>
  </si>
  <si>
    <t>R - 5 S</t>
  </si>
  <si>
    <t>OP 027 PRIMER EPOXICO HS 2K rojo pto asis</t>
  </si>
  <si>
    <t>EPT 1043</t>
  </si>
  <si>
    <t>C - 10</t>
  </si>
  <si>
    <t>P - 6</t>
  </si>
  <si>
    <t>OP 026 EPOXI NOVOLAC 70 BLANCO RF</t>
  </si>
  <si>
    <t>EPT 1044</t>
  </si>
  <si>
    <t>OP 028 Convertidor de Oxido AG</t>
  </si>
  <si>
    <t>EPT 1041</t>
  </si>
  <si>
    <t>HOJA 10</t>
  </si>
  <si>
    <t>AUTONIVELANTE EPOXICO TINTEABLE</t>
  </si>
  <si>
    <t>AUTONIVELANTE EPOXICO AZUL</t>
  </si>
  <si>
    <t>EPT 1050</t>
  </si>
  <si>
    <t>PASTA EPOXICA AZUL BEPRO</t>
  </si>
  <si>
    <t>OP 032 AJUSTADOR EPOXICO IE - 400 FM</t>
  </si>
  <si>
    <t>EPT 1045</t>
  </si>
  <si>
    <t>R - 20</t>
  </si>
  <si>
    <t>OP 031 PRIMER POLIURETANO 2K FORMULA A</t>
  </si>
  <si>
    <t>EPT 1051</t>
  </si>
  <si>
    <t>C - 5 QC</t>
  </si>
  <si>
    <t>OP 029 ESMALTE POLIURETANO BLANCO moler en molino</t>
  </si>
  <si>
    <t>EPT 1054</t>
  </si>
  <si>
    <t>OP 035 Catalizador Primer Epoxico hs 2k fnda</t>
  </si>
  <si>
    <t>EPT 1055</t>
  </si>
  <si>
    <t>HOJA 11</t>
  </si>
  <si>
    <t>OP 003 (2) CATALIZADOR PU UNIVERSAL 2K 60/40</t>
  </si>
  <si>
    <t>EPT 1056</t>
  </si>
  <si>
    <t>OP 033 Ajustador Poliuretano IP 350</t>
  </si>
  <si>
    <t>EPT 1053</t>
  </si>
  <si>
    <t>OP 036 PASTA PARA TINTURAR ESMALTE 2 EN 1</t>
  </si>
  <si>
    <t>EPT 1059</t>
  </si>
  <si>
    <t>C - 11 P</t>
  </si>
  <si>
    <t>ESM. PU RAL 7039</t>
  </si>
  <si>
    <t>EPT 1057</t>
  </si>
  <si>
    <t>ESM. PU ROJO ORGANICO BP</t>
  </si>
  <si>
    <t>OP 037 ESMALTE SINTETICO AMARILLO 2 EN 1 RAL 1003</t>
  </si>
  <si>
    <t>EPT 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</si>
</sst>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4" tint="0.39997558519241921"/>
      </right>
      <top style="medium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4" tint="0.39997558519241921"/>
      </right>
      <top style="double">
        <color indexed="64"/>
      </top>
      <bottom/>
      <diagonal/>
    </border>
    <border>
      <left/>
      <right/>
      <top style="thin">
        <color theme="4" tint="0.39997558519241921"/>
      </top>
      <bottom style="double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double">
        <color indexed="64"/>
      </bottom>
      <diagonal/>
    </border>
    <border>
      <left/>
      <right style="thin">
        <color theme="4" tint="0.3999755851924192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theme="4" tint="0.39997558519241921"/>
      </right>
      <top/>
      <bottom style="double">
        <color indexed="64"/>
      </bottom>
      <diagonal/>
    </border>
    <border>
      <left/>
      <right style="thin">
        <color theme="4" tint="0.39997558519241921"/>
      </right>
      <top style="double">
        <color indexed="64"/>
      </top>
      <bottom style="double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medium">
        <color indexed="64"/>
      </bottom>
      <diagonal/>
    </border>
    <border>
      <left/>
      <right style="thin">
        <color theme="4" tint="0.39997558519241921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theme="4" tint="0.39997558519241921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0" fillId="2" borderId="0" xfId="0" applyFill="1"/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66" fontId="4" fillId="4" borderId="3" xfId="1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5" fontId="0" fillId="0" borderId="5" xfId="0" applyNumberFormat="1" applyBorder="1"/>
    <xf numFmtId="0" fontId="0" fillId="0" borderId="5" xfId="0" applyBorder="1"/>
    <xf numFmtId="0" fontId="0" fillId="5" borderId="5" xfId="0" applyFill="1" applyBorder="1"/>
    <xf numFmtId="10" fontId="0" fillId="0" borderId="0" xfId="1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2" fillId="0" borderId="1" xfId="0" applyFont="1" applyBorder="1"/>
    <xf numFmtId="0" fontId="2" fillId="0" borderId="7" xfId="0" applyFont="1" applyBorder="1" applyAlignment="1">
      <alignment horizontal="center" vertical="center"/>
    </xf>
    <xf numFmtId="10" fontId="0" fillId="0" borderId="8" xfId="1" applyNumberFormat="1" applyFont="1" applyFill="1" applyBorder="1" applyAlignment="1">
      <alignment horizontal="center" vertical="center"/>
    </xf>
    <xf numFmtId="15" fontId="0" fillId="0" borderId="9" xfId="0" applyNumberFormat="1" applyBorder="1"/>
    <xf numFmtId="0" fontId="0" fillId="0" borderId="9" xfId="0" applyBorder="1"/>
    <xf numFmtId="0" fontId="0" fillId="5" borderId="9" xfId="0" applyFill="1" applyBorder="1"/>
    <xf numFmtId="0" fontId="2" fillId="0" borderId="9" xfId="0" applyFont="1" applyBorder="1"/>
    <xf numFmtId="0" fontId="2" fillId="0" borderId="10" xfId="0" applyFont="1" applyBorder="1" applyAlignment="1">
      <alignment horizontal="center" vertical="center"/>
    </xf>
    <xf numFmtId="0" fontId="0" fillId="0" borderId="11" xfId="0" applyBorder="1"/>
    <xf numFmtId="0" fontId="0" fillId="5" borderId="11" xfId="0" applyFill="1" applyBorder="1"/>
    <xf numFmtId="0" fontId="2" fillId="0" borderId="11" xfId="0" applyFont="1" applyBorder="1"/>
    <xf numFmtId="0" fontId="2" fillId="0" borderId="12" xfId="0" applyFont="1" applyBorder="1" applyAlignment="1">
      <alignment horizontal="center" vertical="center"/>
    </xf>
    <xf numFmtId="15" fontId="0" fillId="0" borderId="0" xfId="0" applyNumberFormat="1"/>
    <xf numFmtId="0" fontId="0" fillId="5" borderId="0" xfId="0" applyFill="1"/>
    <xf numFmtId="10" fontId="0" fillId="0" borderId="0" xfId="1" applyNumberFormat="1" applyFont="1" applyFill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Alignment="1">
      <alignment horizontal="right"/>
    </xf>
    <xf numFmtId="10" fontId="0" fillId="0" borderId="1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10" fontId="0" fillId="0" borderId="14" xfId="1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8" xfId="0" applyBorder="1"/>
    <xf numFmtId="0" fontId="0" fillId="5" borderId="8" xfId="0" applyFill="1" applyBorder="1"/>
    <xf numFmtId="10" fontId="0" fillId="0" borderId="16" xfId="1" applyNumberFormat="1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17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5" fontId="0" fillId="6" borderId="0" xfId="0" applyNumberFormat="1" applyFill="1"/>
    <xf numFmtId="0" fontId="0" fillId="6" borderId="0" xfId="0" applyFill="1"/>
    <xf numFmtId="10" fontId="0" fillId="6" borderId="0" xfId="1" applyNumberFormat="1" applyFont="1" applyFill="1" applyBorder="1" applyAlignment="1">
      <alignment horizontal="center" vertical="center"/>
    </xf>
    <xf numFmtId="0" fontId="2" fillId="6" borderId="0" xfId="0" applyFont="1" applyFill="1"/>
    <xf numFmtId="0" fontId="2" fillId="6" borderId="13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7" xfId="0" applyFont="1" applyFill="1" applyBorder="1" applyAlignment="1">
      <alignment horizontal="center" vertical="center"/>
    </xf>
    <xf numFmtId="10" fontId="0" fillId="6" borderId="0" xfId="1" applyNumberFormat="1" applyFont="1" applyFill="1" applyAlignment="1">
      <alignment horizontal="center" vertical="center"/>
    </xf>
    <xf numFmtId="0" fontId="0" fillId="6" borderId="1" xfId="0" applyFill="1" applyBorder="1"/>
    <xf numFmtId="0" fontId="0" fillId="6" borderId="8" xfId="0" applyFill="1" applyBorder="1"/>
    <xf numFmtId="10" fontId="0" fillId="6" borderId="8" xfId="1" applyNumberFormat="1" applyFont="1" applyFill="1" applyBorder="1" applyAlignment="1">
      <alignment horizontal="center" vertical="center"/>
    </xf>
    <xf numFmtId="0" fontId="2" fillId="6" borderId="11" xfId="0" applyFont="1" applyFill="1" applyBorder="1"/>
    <xf numFmtId="0" fontId="2" fillId="6" borderId="12" xfId="0" applyFont="1" applyFill="1" applyBorder="1" applyAlignment="1">
      <alignment horizontal="center" vertical="center"/>
    </xf>
    <xf numFmtId="0" fontId="0" fillId="0" borderId="16" xfId="0" applyBorder="1"/>
    <xf numFmtId="0" fontId="2" fillId="0" borderId="16" xfId="0" applyFont="1" applyBorder="1"/>
    <xf numFmtId="0" fontId="2" fillId="0" borderId="1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14" xfId="0" applyFill="1" applyBorder="1"/>
    <xf numFmtId="0" fontId="2" fillId="0" borderId="15" xfId="0" applyFont="1" applyBorder="1"/>
    <xf numFmtId="0" fontId="2" fillId="0" borderId="19" xfId="0" applyFont="1" applyBorder="1" applyAlignment="1">
      <alignment horizontal="center" vertical="center"/>
    </xf>
    <xf numFmtId="15" fontId="0" fillId="0" borderId="1" xfId="0" applyNumberFormat="1" applyBorder="1"/>
    <xf numFmtId="0" fontId="0" fillId="2" borderId="8" xfId="0" applyFill="1" applyBorder="1"/>
    <xf numFmtId="10" fontId="0" fillId="2" borderId="8" xfId="1" applyNumberFormat="1" applyFont="1" applyFill="1" applyBorder="1" applyAlignment="1">
      <alignment horizontal="center" vertical="center"/>
    </xf>
    <xf numFmtId="0" fontId="2" fillId="2" borderId="11" xfId="0" applyFont="1" applyFill="1" applyBorder="1"/>
    <xf numFmtId="0" fontId="2" fillId="2" borderId="12" xfId="0" applyFont="1" applyFill="1" applyBorder="1" applyAlignment="1">
      <alignment horizontal="center" vertical="center"/>
    </xf>
    <xf numFmtId="0" fontId="5" fillId="6" borderId="0" xfId="0" applyFont="1" applyFill="1"/>
    <xf numFmtId="0" fontId="5" fillId="6" borderId="1" xfId="0" applyFont="1" applyFill="1" applyBorder="1"/>
    <xf numFmtId="0" fontId="5" fillId="6" borderId="11" xfId="0" applyFont="1" applyFill="1" applyBorder="1"/>
    <xf numFmtId="0" fontId="2" fillId="6" borderId="17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0" fillId="6" borderId="14" xfId="0" applyFill="1" applyBorder="1"/>
    <xf numFmtId="10" fontId="0" fillId="6" borderId="14" xfId="1" applyNumberFormat="1" applyFont="1" applyFill="1" applyBorder="1" applyAlignment="1">
      <alignment horizontal="center" vertical="center"/>
    </xf>
    <xf numFmtId="0" fontId="5" fillId="6" borderId="15" xfId="0" applyFont="1" applyFill="1" applyBorder="1"/>
    <xf numFmtId="0" fontId="2" fillId="6" borderId="19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8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11" xfId="0" applyFont="1" applyBorder="1"/>
    <xf numFmtId="0" fontId="2" fillId="0" borderId="14" xfId="0" applyFont="1" applyBorder="1"/>
    <xf numFmtId="0" fontId="2" fillId="0" borderId="20" xfId="0" applyFont="1" applyBorder="1" applyAlignment="1">
      <alignment horizontal="center" vertical="center"/>
    </xf>
    <xf numFmtId="15" fontId="0" fillId="6" borderId="8" xfId="0" applyNumberFormat="1" applyFill="1" applyBorder="1"/>
    <xf numFmtId="15" fontId="0" fillId="2" borderId="0" xfId="0" applyNumberFormat="1" applyFill="1"/>
    <xf numFmtId="10" fontId="0" fillId="2" borderId="0" xfId="1" applyNumberFormat="1" applyFont="1" applyFill="1" applyAlignment="1">
      <alignment horizontal="center" vertical="center"/>
    </xf>
    <xf numFmtId="0" fontId="2" fillId="2" borderId="0" xfId="0" applyFont="1" applyFill="1"/>
    <xf numFmtId="0" fontId="2" fillId="2" borderId="13" xfId="0" applyFont="1" applyFill="1" applyBorder="1" applyAlignment="1">
      <alignment horizontal="center" vertical="center"/>
    </xf>
    <xf numFmtId="15" fontId="0" fillId="2" borderId="8" xfId="0" applyNumberFormat="1" applyFill="1" applyBorder="1"/>
    <xf numFmtId="0" fontId="2" fillId="2" borderId="17" xfId="0" applyFont="1" applyFill="1" applyBorder="1" applyAlignment="1">
      <alignment horizontal="center" vertical="center"/>
    </xf>
    <xf numFmtId="15" fontId="0" fillId="2" borderId="16" xfId="0" applyNumberFormat="1" applyFill="1" applyBorder="1"/>
    <xf numFmtId="0" fontId="0" fillId="2" borderId="16" xfId="0" applyFill="1" applyBorder="1"/>
    <xf numFmtId="10" fontId="0" fillId="2" borderId="16" xfId="1" applyNumberFormat="1" applyFont="1" applyFill="1" applyBorder="1" applyAlignment="1">
      <alignment horizontal="center" vertical="center"/>
    </xf>
    <xf numFmtId="0" fontId="2" fillId="2" borderId="16" xfId="0" applyFont="1" applyFill="1" applyBorder="1"/>
    <xf numFmtId="0" fontId="2" fillId="2" borderId="18" xfId="0" applyFont="1" applyFill="1" applyBorder="1" applyAlignment="1">
      <alignment horizontal="center" vertical="center"/>
    </xf>
    <xf numFmtId="15" fontId="0" fillId="0" borderId="8" xfId="0" applyNumberFormat="1" applyBorder="1"/>
    <xf numFmtId="15" fontId="0" fillId="0" borderId="14" xfId="0" applyNumberFormat="1" applyBorder="1"/>
    <xf numFmtId="0" fontId="0" fillId="6" borderId="11" xfId="0" applyFill="1" applyBorder="1"/>
    <xf numFmtId="0" fontId="0" fillId="5" borderId="15" xfId="0" applyFill="1" applyBorder="1"/>
    <xf numFmtId="15" fontId="0" fillId="0" borderId="21" xfId="0" applyNumberFormat="1" applyBorder="1"/>
    <xf numFmtId="0" fontId="0" fillId="0" borderId="21" xfId="0" applyBorder="1"/>
    <xf numFmtId="0" fontId="0" fillId="5" borderId="21" xfId="0" applyFill="1" applyBorder="1"/>
    <xf numFmtId="10" fontId="0" fillId="0" borderId="21" xfId="1" applyNumberFormat="1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 applyAlignment="1">
      <alignment horizontal="center" vertical="center"/>
    </xf>
    <xf numFmtId="166" fontId="2" fillId="0" borderId="0" xfId="1" applyNumberFormat="1" applyFont="1"/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F2655-C040-3949-97C5-4BD6135334A3}" name="Tabla2" displayName="Tabla2" ref="C1:I443" totalsRowCount="1" headerRowDxfId="16" dataDxfId="15" tableBorderDxfId="14">
  <autoFilter ref="C1:I442" xr:uid="{964F2655-C040-3949-97C5-4BD6135334A3}"/>
  <tableColumns count="7">
    <tableColumn id="1" xr3:uid="{678B5E95-F5F5-3647-9E65-15D052A034CF}" name="FECHA DD/MM/AA" dataDxfId="13" totalsRowDxfId="12"/>
    <tableColumn id="2" xr3:uid="{8D926D5C-2EFB-D645-8A57-D1087DAA6711}" name="MEDIDAS (KG-GR-GL - CUÑ)" dataDxfId="11" totalsRowDxfId="10"/>
    <tableColumn id="3" xr3:uid="{A30ED9BF-C81A-264C-926E-E9F35DB55AD4}" name="NOMBRE" dataDxfId="9" totalsRowDxfId="8"/>
    <tableColumn id="4" xr3:uid="{52A58B76-30E2-DB4D-9467-1F092B53A85F}" name="CANTIDAD KG" totalsRowFunction="sum" dataDxfId="7" totalsRowDxfId="6"/>
    <tableColumn id="7" xr3:uid="{F8E93BA2-E82A-FC4B-A7B9-A72B8CD97BCC}" name="PORCENTAJE" dataDxfId="5" totalsRowDxfId="4" dataCellStyle="Porcentaje" totalsRowCellStyle="Porcentaje"/>
    <tableColumn id="5" xr3:uid="{2DD0E0AB-F79D-1B4B-BBDB-7DCF9F535880}" name="OBSERVACIONES-FIRMA DE CONTROL DE REGISTRO DE KARDEX" dataDxfId="3" totalsRowDxfId="2"/>
    <tableColumn id="6" xr3:uid="{98C40970-6935-C249-B6F9-C4F8EB36A22C}" name="ENTRADA PRODUCTO TERMINADO" dataDxfId="1" totals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6D45-B6CE-E34D-A143-AAC1800AD79C}">
  <dimension ref="A1:I443"/>
  <sheetViews>
    <sheetView tabSelected="1" workbookViewId="0">
      <selection activeCell="E53" sqref="E53"/>
    </sheetView>
  </sheetViews>
  <sheetFormatPr baseColWidth="10" defaultRowHeight="15" x14ac:dyDescent="0.2"/>
  <cols>
    <col min="1" max="1" width="11.33203125" bestFit="1" customWidth="1"/>
    <col min="2" max="2" width="12.83203125" bestFit="1" customWidth="1"/>
    <col min="3" max="3" width="23.1640625" bestFit="1" customWidth="1"/>
    <col min="4" max="4" width="29.33203125" bestFit="1" customWidth="1"/>
    <col min="5" max="5" width="36" bestFit="1" customWidth="1"/>
    <col min="6" max="6" width="18.5" bestFit="1" customWidth="1"/>
    <col min="7" max="7" width="17.33203125" style="113" bestFit="1" customWidth="1"/>
    <col min="8" max="8" width="66" style="2" customWidth="1"/>
    <col min="9" max="9" width="24.5" bestFit="1" customWidth="1"/>
  </cols>
  <sheetData>
    <row r="1" spans="1:9" ht="31" thickBot="1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</row>
    <row r="2" spans="1:9" x14ac:dyDescent="0.2">
      <c r="A2" s="114" t="s">
        <v>9</v>
      </c>
      <c r="B2" s="8">
        <v>1</v>
      </c>
      <c r="C2" s="9">
        <v>46027</v>
      </c>
      <c r="D2" s="10" t="s">
        <v>10</v>
      </c>
      <c r="E2" s="10" t="s">
        <v>11</v>
      </c>
      <c r="F2" s="11">
        <v>50</v>
      </c>
      <c r="G2" s="12">
        <f>F2/SUM($F$2:$F$5)</f>
        <v>0.29761904761904762</v>
      </c>
      <c r="H2" s="13" t="s">
        <v>12</v>
      </c>
      <c r="I2" s="14" t="s">
        <v>13</v>
      </c>
    </row>
    <row r="3" spans="1:9" x14ac:dyDescent="0.2">
      <c r="A3" s="115"/>
      <c r="B3" s="15">
        <v>2</v>
      </c>
      <c r="C3" s="16"/>
      <c r="D3" s="16" t="s">
        <v>10</v>
      </c>
      <c r="E3" s="16" t="s">
        <v>14</v>
      </c>
      <c r="F3" s="17">
        <v>8.5</v>
      </c>
      <c r="G3" s="12">
        <f>F3/SUM($F$2:$F$5)</f>
        <v>5.0595238095238096E-2</v>
      </c>
      <c r="H3" s="18"/>
      <c r="I3" s="19"/>
    </row>
    <row r="4" spans="1:9" x14ac:dyDescent="0.2">
      <c r="A4" s="115"/>
      <c r="B4" s="15">
        <v>3</v>
      </c>
      <c r="C4" s="16"/>
      <c r="D4" s="16" t="s">
        <v>10</v>
      </c>
      <c r="E4" s="16" t="s">
        <v>15</v>
      </c>
      <c r="F4" s="17">
        <v>84</v>
      </c>
      <c r="G4" s="12">
        <f>F4/SUM($F$2:$F$5)</f>
        <v>0.5</v>
      </c>
      <c r="H4" s="18"/>
      <c r="I4" s="19"/>
    </row>
    <row r="5" spans="1:9" x14ac:dyDescent="0.2">
      <c r="A5" s="115"/>
      <c r="B5" s="15">
        <v>4</v>
      </c>
      <c r="C5" s="16"/>
      <c r="D5" s="16" t="s">
        <v>10</v>
      </c>
      <c r="E5" s="16" t="s">
        <v>16</v>
      </c>
      <c r="F5" s="17">
        <v>25.5</v>
      </c>
      <c r="G5" s="12">
        <f>F5/SUM($F$2:$F$5)</f>
        <v>0.15178571428571427</v>
      </c>
      <c r="H5" s="18"/>
      <c r="I5" s="19"/>
    </row>
    <row r="6" spans="1:9" ht="16" thickBot="1" x14ac:dyDescent="0.25">
      <c r="A6" s="115"/>
      <c r="B6" s="15">
        <v>5</v>
      </c>
      <c r="C6" s="16"/>
      <c r="D6" s="16" t="s">
        <v>17</v>
      </c>
      <c r="E6" s="16" t="s">
        <v>18</v>
      </c>
      <c r="F6" s="17">
        <v>10</v>
      </c>
      <c r="G6" s="20" t="s">
        <v>19</v>
      </c>
      <c r="H6" s="18" t="s">
        <v>12</v>
      </c>
      <c r="I6" s="19" t="s">
        <v>13</v>
      </c>
    </row>
    <row r="7" spans="1:9" ht="16" thickTop="1" x14ac:dyDescent="0.2">
      <c r="A7" s="115"/>
      <c r="B7" s="15">
        <v>6</v>
      </c>
      <c r="C7" s="21">
        <v>46027</v>
      </c>
      <c r="D7" s="22" t="s">
        <v>10</v>
      </c>
      <c r="E7" s="22" t="s">
        <v>15</v>
      </c>
      <c r="F7" s="23">
        <v>157.80000000000001</v>
      </c>
      <c r="G7" s="12">
        <f>F7/SUM($F$7:$F$9)</f>
        <v>0.93705463182897852</v>
      </c>
      <c r="H7" s="24" t="s">
        <v>20</v>
      </c>
      <c r="I7" s="25" t="s">
        <v>21</v>
      </c>
    </row>
    <row r="8" spans="1:9" x14ac:dyDescent="0.2">
      <c r="A8" s="115"/>
      <c r="B8" s="15">
        <v>7</v>
      </c>
      <c r="C8" s="16"/>
      <c r="D8" s="16" t="s">
        <v>10</v>
      </c>
      <c r="E8" s="16" t="s">
        <v>22</v>
      </c>
      <c r="F8" s="17">
        <v>5.3</v>
      </c>
      <c r="G8" s="12">
        <f>F8/SUM($F$7:$F$9)</f>
        <v>3.1472684085510683E-2</v>
      </c>
      <c r="H8" s="18"/>
      <c r="I8" s="19"/>
    </row>
    <row r="9" spans="1:9" ht="16" thickBot="1" x14ac:dyDescent="0.25">
      <c r="A9" s="115"/>
      <c r="B9" s="15">
        <v>8</v>
      </c>
      <c r="C9" s="26"/>
      <c r="D9" s="26" t="s">
        <v>10</v>
      </c>
      <c r="E9" s="26" t="s">
        <v>23</v>
      </c>
      <c r="F9" s="27">
        <v>5.3</v>
      </c>
      <c r="G9" s="20">
        <f>F9/SUM($F$7:$F$9)</f>
        <v>3.1472684085510683E-2</v>
      </c>
      <c r="H9" s="28" t="s">
        <v>24</v>
      </c>
      <c r="I9" s="29" t="s">
        <v>21</v>
      </c>
    </row>
    <row r="10" spans="1:9" ht="16" thickTop="1" x14ac:dyDescent="0.2">
      <c r="A10" s="115"/>
      <c r="B10" s="15">
        <v>9</v>
      </c>
      <c r="C10" s="30">
        <v>38722</v>
      </c>
      <c r="D10" t="s">
        <v>10</v>
      </c>
      <c r="E10" t="s">
        <v>25</v>
      </c>
      <c r="F10" s="31">
        <v>214.15</v>
      </c>
      <c r="G10" s="32">
        <f>F10/SUM($F$10:$F$11)</f>
        <v>0.60002801905295611</v>
      </c>
      <c r="H10" s="2" t="s">
        <v>26</v>
      </c>
      <c r="I10" s="33" t="s">
        <v>27</v>
      </c>
    </row>
    <row r="11" spans="1:9" x14ac:dyDescent="0.2">
      <c r="A11" s="115"/>
      <c r="B11" s="15">
        <v>10</v>
      </c>
      <c r="C11" s="16"/>
      <c r="D11" s="16" t="s">
        <v>10</v>
      </c>
      <c r="E11" s="16" t="s">
        <v>15</v>
      </c>
      <c r="F11" s="17">
        <v>142.75</v>
      </c>
      <c r="G11" s="32">
        <f>F11/SUM($F$10:$F$11)</f>
        <v>0.399971980947044</v>
      </c>
      <c r="H11" s="18"/>
      <c r="I11" s="19"/>
    </row>
    <row r="12" spans="1:9" x14ac:dyDescent="0.2">
      <c r="A12" s="115"/>
      <c r="B12" s="15">
        <v>11</v>
      </c>
      <c r="C12" s="16"/>
      <c r="D12" s="16" t="s">
        <v>17</v>
      </c>
      <c r="E12" s="16" t="s">
        <v>28</v>
      </c>
      <c r="F12" s="17">
        <v>97</v>
      </c>
      <c r="G12" s="32" t="s">
        <v>19</v>
      </c>
      <c r="H12" s="18"/>
      <c r="I12" s="19"/>
    </row>
    <row r="13" spans="1:9" ht="16" thickBot="1" x14ac:dyDescent="0.25">
      <c r="A13" s="115"/>
      <c r="B13" s="15">
        <v>12</v>
      </c>
      <c r="C13" s="26"/>
      <c r="D13" s="26" t="s">
        <v>17</v>
      </c>
      <c r="E13" s="26" t="s">
        <v>29</v>
      </c>
      <c r="F13" s="27">
        <v>1</v>
      </c>
      <c r="G13" s="20" t="s">
        <v>19</v>
      </c>
      <c r="H13" s="28" t="s">
        <v>26</v>
      </c>
      <c r="I13" s="29" t="s">
        <v>27</v>
      </c>
    </row>
    <row r="14" spans="1:9" ht="16" thickTop="1" x14ac:dyDescent="0.2">
      <c r="A14" s="115"/>
      <c r="B14" s="15">
        <v>13</v>
      </c>
      <c r="C14" s="30">
        <v>46027</v>
      </c>
      <c r="D14" t="s">
        <v>10</v>
      </c>
      <c r="E14" t="s">
        <v>30</v>
      </c>
      <c r="F14" s="31">
        <v>0.88</v>
      </c>
      <c r="G14" s="32">
        <f t="shared" ref="G14:G25" si="0">F14/SUM($F$14:$F$25)</f>
        <v>3.9921970693644233E-2</v>
      </c>
      <c r="H14" s="2" t="s">
        <v>31</v>
      </c>
      <c r="I14" s="33" t="s">
        <v>32</v>
      </c>
    </row>
    <row r="15" spans="1:9" x14ac:dyDescent="0.2">
      <c r="A15" s="115"/>
      <c r="B15" s="15">
        <v>14</v>
      </c>
      <c r="C15" s="16"/>
      <c r="D15" s="16" t="s">
        <v>10</v>
      </c>
      <c r="E15" s="16" t="s">
        <v>33</v>
      </c>
      <c r="F15" s="17">
        <v>0.22</v>
      </c>
      <c r="G15" s="32">
        <f t="shared" si="0"/>
        <v>9.9804926734110583E-3</v>
      </c>
      <c r="H15" s="18"/>
      <c r="I15" s="19"/>
    </row>
    <row r="16" spans="1:9" x14ac:dyDescent="0.2">
      <c r="A16" s="115"/>
      <c r="B16" s="15">
        <v>15</v>
      </c>
      <c r="C16" s="16"/>
      <c r="D16" s="16" t="s">
        <v>10</v>
      </c>
      <c r="E16" s="16" t="s">
        <v>34</v>
      </c>
      <c r="F16" s="17">
        <v>7.74</v>
      </c>
      <c r="G16" s="32">
        <f t="shared" si="0"/>
        <v>0.35113187860091638</v>
      </c>
      <c r="H16" s="18"/>
      <c r="I16" s="19"/>
    </row>
    <row r="17" spans="1:9" x14ac:dyDescent="0.2">
      <c r="A17" s="115"/>
      <c r="B17" s="15">
        <v>16</v>
      </c>
      <c r="C17" s="16"/>
      <c r="D17" s="16" t="s">
        <v>10</v>
      </c>
      <c r="E17" s="16" t="s">
        <v>35</v>
      </c>
      <c r="F17" s="17">
        <v>0.9</v>
      </c>
      <c r="G17" s="32">
        <f t="shared" si="0"/>
        <v>4.0829288209408877E-2</v>
      </c>
      <c r="H17" s="18"/>
      <c r="I17" s="19"/>
    </row>
    <row r="18" spans="1:9" x14ac:dyDescent="0.2">
      <c r="A18" s="115"/>
      <c r="B18" s="15">
        <v>17</v>
      </c>
      <c r="C18" s="16"/>
      <c r="D18" s="16" t="s">
        <v>10</v>
      </c>
      <c r="E18" s="16" t="s">
        <v>36</v>
      </c>
      <c r="F18" s="17">
        <v>3.6</v>
      </c>
      <c r="G18" s="32">
        <f t="shared" si="0"/>
        <v>0.16331715283763551</v>
      </c>
      <c r="H18" s="18"/>
      <c r="I18" s="19"/>
    </row>
    <row r="19" spans="1:9" x14ac:dyDescent="0.2">
      <c r="A19" s="115"/>
      <c r="B19" s="15">
        <v>18</v>
      </c>
      <c r="C19" s="16"/>
      <c r="D19" s="16" t="s">
        <v>10</v>
      </c>
      <c r="E19" s="16" t="s">
        <v>37</v>
      </c>
      <c r="F19" s="17">
        <v>5.6000000000000001E-2</v>
      </c>
      <c r="G19" s="32">
        <f t="shared" si="0"/>
        <v>2.5404890441409968E-3</v>
      </c>
      <c r="H19" s="18"/>
      <c r="I19" s="19"/>
    </row>
    <row r="20" spans="1:9" x14ac:dyDescent="0.2">
      <c r="A20" s="115"/>
      <c r="B20" s="15">
        <v>19</v>
      </c>
      <c r="C20" s="16"/>
      <c r="D20" s="16" t="s">
        <v>10</v>
      </c>
      <c r="E20" s="16" t="s">
        <v>38</v>
      </c>
      <c r="F20" s="17">
        <v>1.7</v>
      </c>
      <c r="G20" s="32">
        <f t="shared" si="0"/>
        <v>7.7121988839994549E-2</v>
      </c>
      <c r="H20" s="18"/>
      <c r="I20" s="19"/>
    </row>
    <row r="21" spans="1:9" x14ac:dyDescent="0.2">
      <c r="A21" s="115"/>
      <c r="B21" s="15">
        <v>20</v>
      </c>
      <c r="C21" s="16"/>
      <c r="D21" s="16" t="s">
        <v>10</v>
      </c>
      <c r="E21" s="16" t="s">
        <v>39</v>
      </c>
      <c r="F21" s="17">
        <v>3.2</v>
      </c>
      <c r="G21" s="32">
        <f t="shared" si="0"/>
        <v>0.14517080252234268</v>
      </c>
      <c r="H21" s="18"/>
      <c r="I21" s="19"/>
    </row>
    <row r="22" spans="1:9" x14ac:dyDescent="0.2">
      <c r="A22" s="115"/>
      <c r="B22" s="15">
        <v>21</v>
      </c>
      <c r="C22" s="16"/>
      <c r="D22" s="16" t="s">
        <v>10</v>
      </c>
      <c r="E22" s="16" t="s">
        <v>40</v>
      </c>
      <c r="F22" s="17">
        <v>1.8</v>
      </c>
      <c r="G22" s="32">
        <f t="shared" si="0"/>
        <v>8.1658576418817755E-2</v>
      </c>
      <c r="H22" s="18"/>
      <c r="I22" s="19"/>
    </row>
    <row r="23" spans="1:9" x14ac:dyDescent="0.2">
      <c r="A23" s="115"/>
      <c r="B23" s="15">
        <v>22</v>
      </c>
      <c r="C23" s="16"/>
      <c r="D23" s="16" t="s">
        <v>10</v>
      </c>
      <c r="E23" s="16" t="s">
        <v>41</v>
      </c>
      <c r="F23" s="17">
        <v>1.6</v>
      </c>
      <c r="G23" s="32">
        <f t="shared" si="0"/>
        <v>7.2585401261171342E-2</v>
      </c>
      <c r="H23" s="18"/>
      <c r="I23" s="19"/>
    </row>
    <row r="24" spans="1:9" x14ac:dyDescent="0.2">
      <c r="A24" s="115"/>
      <c r="B24" s="15">
        <v>23</v>
      </c>
      <c r="C24" s="16"/>
      <c r="D24" s="16" t="s">
        <v>10</v>
      </c>
      <c r="E24" s="16" t="s">
        <v>42</v>
      </c>
      <c r="F24" s="17">
        <v>0.193</v>
      </c>
      <c r="G24" s="32">
        <f t="shared" si="0"/>
        <v>8.7556140271287924E-3</v>
      </c>
      <c r="H24" s="18"/>
      <c r="I24" s="19"/>
    </row>
    <row r="25" spans="1:9" x14ac:dyDescent="0.2">
      <c r="A25" s="115"/>
      <c r="B25" s="15">
        <v>24</v>
      </c>
      <c r="C25" s="16"/>
      <c r="D25" s="16" t="s">
        <v>10</v>
      </c>
      <c r="E25" t="s">
        <v>43</v>
      </c>
      <c r="F25" s="31">
        <v>0.154</v>
      </c>
      <c r="G25" s="32">
        <f t="shared" si="0"/>
        <v>6.9863448713877408E-3</v>
      </c>
      <c r="H25" s="18"/>
      <c r="I25" s="19"/>
    </row>
    <row r="26" spans="1:9" x14ac:dyDescent="0.2">
      <c r="A26" s="115"/>
      <c r="B26" s="15">
        <v>25</v>
      </c>
      <c r="C26" s="16"/>
      <c r="D26" s="16" t="s">
        <v>10</v>
      </c>
      <c r="E26" t="s">
        <v>44</v>
      </c>
      <c r="F26" s="34" t="s">
        <v>44</v>
      </c>
      <c r="G26" s="32" t="s">
        <v>44</v>
      </c>
      <c r="H26" s="18"/>
      <c r="I26" s="19"/>
    </row>
    <row r="27" spans="1:9" x14ac:dyDescent="0.2">
      <c r="A27" s="115"/>
      <c r="B27" s="15">
        <v>26</v>
      </c>
      <c r="C27" s="16"/>
      <c r="D27" s="16" t="s">
        <v>17</v>
      </c>
      <c r="E27" s="16" t="s">
        <v>45</v>
      </c>
      <c r="F27" s="17">
        <v>1</v>
      </c>
      <c r="G27" s="32" t="s">
        <v>19</v>
      </c>
      <c r="H27" s="18"/>
      <c r="I27" s="19"/>
    </row>
    <row r="28" spans="1:9" x14ac:dyDescent="0.2">
      <c r="A28" s="115"/>
      <c r="B28" s="15">
        <v>27</v>
      </c>
      <c r="C28" s="16"/>
      <c r="D28" s="16" t="s">
        <v>17</v>
      </c>
      <c r="E28" s="16" t="s">
        <v>46</v>
      </c>
      <c r="F28" s="17">
        <v>1</v>
      </c>
      <c r="G28" s="32" t="s">
        <v>19</v>
      </c>
      <c r="H28" s="18"/>
      <c r="I28" s="19"/>
    </row>
    <row r="29" spans="1:9" ht="16" thickBot="1" x14ac:dyDescent="0.25">
      <c r="A29" s="115"/>
      <c r="B29" s="15">
        <v>28</v>
      </c>
      <c r="C29" s="26"/>
      <c r="D29" s="26" t="s">
        <v>44</v>
      </c>
      <c r="E29" s="26" t="s">
        <v>44</v>
      </c>
      <c r="F29" s="26" t="s">
        <v>44</v>
      </c>
      <c r="G29" s="20" t="s">
        <v>44</v>
      </c>
      <c r="H29" s="28" t="s">
        <v>31</v>
      </c>
      <c r="I29" s="29" t="s">
        <v>32</v>
      </c>
    </row>
    <row r="30" spans="1:9" ht="16" thickTop="1" x14ac:dyDescent="0.2">
      <c r="A30" s="115"/>
      <c r="B30" s="15">
        <v>29</v>
      </c>
      <c r="C30" s="30">
        <v>46027</v>
      </c>
      <c r="D30" t="s">
        <v>10</v>
      </c>
      <c r="E30" t="s">
        <v>47</v>
      </c>
      <c r="F30" s="31">
        <v>2.1</v>
      </c>
      <c r="G30" s="32">
        <f>F30/SUM($F$30:$F$32)</f>
        <v>0.55702917771883287</v>
      </c>
      <c r="H30" s="2" t="s">
        <v>48</v>
      </c>
      <c r="I30" s="33" t="s">
        <v>49</v>
      </c>
    </row>
    <row r="31" spans="1:9" x14ac:dyDescent="0.2">
      <c r="A31" s="115"/>
      <c r="B31" s="15">
        <v>30</v>
      </c>
      <c r="C31" s="16"/>
      <c r="D31" s="16" t="s">
        <v>10</v>
      </c>
      <c r="E31" s="16" t="s">
        <v>50</v>
      </c>
      <c r="F31" s="17">
        <v>1.3</v>
      </c>
      <c r="G31" s="12">
        <f>F31/SUM($F$30:$F$32)</f>
        <v>0.34482758620689652</v>
      </c>
      <c r="H31" s="18"/>
      <c r="I31" s="19"/>
    </row>
    <row r="32" spans="1:9" x14ac:dyDescent="0.2">
      <c r="A32" s="115"/>
      <c r="B32" s="15">
        <v>31</v>
      </c>
      <c r="C32" s="16"/>
      <c r="D32" s="16" t="s">
        <v>10</v>
      </c>
      <c r="E32" s="16" t="s">
        <v>51</v>
      </c>
      <c r="F32" s="17">
        <v>0.37</v>
      </c>
      <c r="G32" s="32">
        <f>F32/SUM($F$30:$F$32)</f>
        <v>9.8143236074270543E-2</v>
      </c>
      <c r="H32" s="18"/>
      <c r="I32" s="19"/>
    </row>
    <row r="33" spans="1:9" ht="16" thickBot="1" x14ac:dyDescent="0.25">
      <c r="A33" s="115"/>
      <c r="B33" s="15">
        <v>32</v>
      </c>
      <c r="C33" s="26"/>
      <c r="D33" s="26" t="s">
        <v>17</v>
      </c>
      <c r="E33" s="26" t="s">
        <v>46</v>
      </c>
      <c r="F33" s="27">
        <v>1</v>
      </c>
      <c r="G33" s="35" t="s">
        <v>19</v>
      </c>
      <c r="H33" s="28" t="s">
        <v>48</v>
      </c>
      <c r="I33" s="29" t="s">
        <v>49</v>
      </c>
    </row>
    <row r="34" spans="1:9" ht="16" thickTop="1" x14ac:dyDescent="0.2">
      <c r="A34" s="115"/>
      <c r="B34" s="15">
        <v>33</v>
      </c>
      <c r="C34" t="s">
        <v>44</v>
      </c>
      <c r="D34" t="s">
        <v>44</v>
      </c>
      <c r="E34" t="s">
        <v>44</v>
      </c>
      <c r="F34" t="s">
        <v>44</v>
      </c>
      <c r="G34" s="32" t="s">
        <v>44</v>
      </c>
      <c r="H34" s="36" t="s">
        <v>44</v>
      </c>
      <c r="I34" s="37" t="s">
        <v>44</v>
      </c>
    </row>
    <row r="35" spans="1:9" x14ac:dyDescent="0.2">
      <c r="A35" s="115"/>
      <c r="B35" s="15">
        <v>34</v>
      </c>
      <c r="C35" s="16" t="s">
        <v>44</v>
      </c>
      <c r="D35" t="s">
        <v>44</v>
      </c>
      <c r="E35" t="s">
        <v>44</v>
      </c>
      <c r="F35" t="s">
        <v>44</v>
      </c>
      <c r="G35" s="32" t="s">
        <v>44</v>
      </c>
      <c r="H35" s="36" t="s">
        <v>44</v>
      </c>
      <c r="I35" s="37" t="s">
        <v>44</v>
      </c>
    </row>
    <row r="36" spans="1:9" x14ac:dyDescent="0.2">
      <c r="A36" s="115"/>
      <c r="B36" s="15">
        <v>35</v>
      </c>
      <c r="C36" s="16" t="s">
        <v>44</v>
      </c>
      <c r="D36" t="s">
        <v>44</v>
      </c>
      <c r="E36" t="s">
        <v>44</v>
      </c>
      <c r="F36" t="s">
        <v>44</v>
      </c>
      <c r="G36" s="12" t="s">
        <v>44</v>
      </c>
      <c r="H36" s="36" t="s">
        <v>44</v>
      </c>
      <c r="I36" s="37" t="s">
        <v>44</v>
      </c>
    </row>
    <row r="37" spans="1:9" x14ac:dyDescent="0.2">
      <c r="A37" s="115"/>
      <c r="B37" s="15">
        <v>36</v>
      </c>
      <c r="C37" s="16" t="s">
        <v>44</v>
      </c>
      <c r="D37" t="s">
        <v>44</v>
      </c>
      <c r="E37" t="s">
        <v>44</v>
      </c>
      <c r="F37" t="s">
        <v>44</v>
      </c>
      <c r="G37" s="32" t="s">
        <v>44</v>
      </c>
      <c r="H37" s="36" t="s">
        <v>44</v>
      </c>
      <c r="I37" s="37" t="s">
        <v>44</v>
      </c>
    </row>
    <row r="38" spans="1:9" x14ac:dyDescent="0.2">
      <c r="A38" s="115"/>
      <c r="B38" s="15">
        <v>37</v>
      </c>
      <c r="C38" s="16" t="s">
        <v>44</v>
      </c>
      <c r="D38" t="s">
        <v>44</v>
      </c>
      <c r="E38" t="s">
        <v>44</v>
      </c>
      <c r="F38" t="s">
        <v>44</v>
      </c>
      <c r="G38" s="32" t="s">
        <v>44</v>
      </c>
      <c r="H38" s="36" t="s">
        <v>44</v>
      </c>
      <c r="I38" s="37" t="s">
        <v>44</v>
      </c>
    </row>
    <row r="39" spans="1:9" x14ac:dyDescent="0.2">
      <c r="A39" s="115"/>
      <c r="B39" s="15">
        <v>38</v>
      </c>
      <c r="C39" s="16" t="s">
        <v>44</v>
      </c>
      <c r="D39" t="s">
        <v>44</v>
      </c>
      <c r="E39" t="s">
        <v>44</v>
      </c>
      <c r="F39" t="s">
        <v>44</v>
      </c>
      <c r="G39" s="32" t="s">
        <v>44</v>
      </c>
      <c r="H39" s="36" t="s">
        <v>44</v>
      </c>
      <c r="I39" s="37" t="s">
        <v>44</v>
      </c>
    </row>
    <row r="40" spans="1:9" x14ac:dyDescent="0.2">
      <c r="A40" s="115"/>
      <c r="B40" s="15">
        <v>39</v>
      </c>
      <c r="C40" s="16" t="s">
        <v>44</v>
      </c>
      <c r="D40" t="s">
        <v>44</v>
      </c>
      <c r="E40" t="s">
        <v>44</v>
      </c>
      <c r="F40" t="s">
        <v>44</v>
      </c>
      <c r="G40" s="32" t="s">
        <v>44</v>
      </c>
      <c r="H40" s="36" t="s">
        <v>44</v>
      </c>
      <c r="I40" s="37" t="s">
        <v>44</v>
      </c>
    </row>
    <row r="41" spans="1:9" ht="16" thickBot="1" x14ac:dyDescent="0.25">
      <c r="A41" s="116"/>
      <c r="B41" s="38">
        <v>40</v>
      </c>
      <c r="C41" s="39" t="s">
        <v>44</v>
      </c>
      <c r="D41" s="40" t="s">
        <v>44</v>
      </c>
      <c r="E41" s="40" t="s">
        <v>44</v>
      </c>
      <c r="F41" s="40" t="s">
        <v>44</v>
      </c>
      <c r="G41" s="41" t="s">
        <v>44</v>
      </c>
      <c r="H41" s="42" t="s">
        <v>44</v>
      </c>
      <c r="I41" s="43" t="s">
        <v>44</v>
      </c>
    </row>
    <row r="42" spans="1:9" x14ac:dyDescent="0.2">
      <c r="A42" s="114" t="s">
        <v>52</v>
      </c>
      <c r="B42" s="8">
        <v>1</v>
      </c>
      <c r="C42" s="30">
        <v>46027</v>
      </c>
      <c r="D42" t="s">
        <v>10</v>
      </c>
      <c r="E42" t="s">
        <v>15</v>
      </c>
      <c r="F42" s="31">
        <v>7.2</v>
      </c>
      <c r="G42" s="32">
        <f>F42/SUM($F$42:$F$43)</f>
        <v>0.12000000000000001</v>
      </c>
      <c r="H42" s="2" t="s">
        <v>53</v>
      </c>
      <c r="I42" s="33" t="s">
        <v>54</v>
      </c>
    </row>
    <row r="43" spans="1:9" x14ac:dyDescent="0.2">
      <c r="A43" s="115"/>
      <c r="B43" s="15">
        <v>2</v>
      </c>
      <c r="C43" s="16"/>
      <c r="D43" s="16" t="s">
        <v>10</v>
      </c>
      <c r="E43" s="16" t="s">
        <v>55</v>
      </c>
      <c r="F43" s="17">
        <v>52.8</v>
      </c>
      <c r="G43" s="12">
        <f>F43/SUM($F$42:$F$43)</f>
        <v>0.88</v>
      </c>
      <c r="H43" s="18"/>
      <c r="I43" s="19"/>
    </row>
    <row r="44" spans="1:9" ht="16" thickBot="1" x14ac:dyDescent="0.25">
      <c r="A44" s="115"/>
      <c r="B44" s="15">
        <v>3</v>
      </c>
      <c r="C44" s="44"/>
      <c r="D44" s="44" t="s">
        <v>17</v>
      </c>
      <c r="E44" s="44" t="s">
        <v>18</v>
      </c>
      <c r="F44" s="45">
        <v>4</v>
      </c>
      <c r="G44" s="20" t="s">
        <v>19</v>
      </c>
      <c r="H44" s="28" t="s">
        <v>53</v>
      </c>
      <c r="I44" s="29" t="s">
        <v>54</v>
      </c>
    </row>
    <row r="45" spans="1:9" ht="17" thickTop="1" thickBot="1" x14ac:dyDescent="0.25">
      <c r="A45" s="115"/>
      <c r="B45" s="15">
        <v>4</v>
      </c>
      <c r="C45" s="44" t="s">
        <v>44</v>
      </c>
      <c r="D45" s="44" t="s">
        <v>44</v>
      </c>
      <c r="E45" t="s">
        <v>44</v>
      </c>
      <c r="F45" s="44" t="s">
        <v>44</v>
      </c>
      <c r="G45" s="46" t="s">
        <v>44</v>
      </c>
      <c r="H45" s="47" t="s">
        <v>44</v>
      </c>
      <c r="I45" s="48" t="s">
        <v>44</v>
      </c>
    </row>
    <row r="46" spans="1:9" ht="16" thickTop="1" x14ac:dyDescent="0.2">
      <c r="A46" s="115"/>
      <c r="B46" s="49">
        <v>5</v>
      </c>
      <c r="C46" s="50">
        <v>46027</v>
      </c>
      <c r="D46" s="51" t="s">
        <v>10</v>
      </c>
      <c r="E46" s="51" t="s">
        <v>56</v>
      </c>
      <c r="F46" s="51">
        <v>56</v>
      </c>
      <c r="G46" s="52">
        <f t="shared" ref="G46:G53" si="1">F46/SUM($F$46:$F$53)</f>
        <v>0.93520639587654142</v>
      </c>
      <c r="H46" s="53" t="s">
        <v>57</v>
      </c>
      <c r="I46" s="54" t="s">
        <v>58</v>
      </c>
    </row>
    <row r="47" spans="1:9" x14ac:dyDescent="0.2">
      <c r="A47" s="115"/>
      <c r="B47" s="49">
        <v>6</v>
      </c>
      <c r="C47" s="51"/>
      <c r="D47" s="51" t="s">
        <v>10</v>
      </c>
      <c r="E47" s="51" t="s">
        <v>59</v>
      </c>
      <c r="F47" s="51">
        <v>0.748</v>
      </c>
      <c r="G47" s="52">
        <f t="shared" si="1"/>
        <v>1.2491685430636661E-2</v>
      </c>
      <c r="H47" s="55"/>
      <c r="I47" s="56"/>
    </row>
    <row r="48" spans="1:9" x14ac:dyDescent="0.2">
      <c r="A48" s="115"/>
      <c r="B48" s="49">
        <v>7</v>
      </c>
      <c r="C48" s="51"/>
      <c r="D48" s="51" t="s">
        <v>10</v>
      </c>
      <c r="E48" s="51" t="s">
        <v>60</v>
      </c>
      <c r="F48" s="51">
        <v>8.7299999999999999E-3</v>
      </c>
      <c r="G48" s="57">
        <f t="shared" si="1"/>
        <v>1.4579199707146797E-4</v>
      </c>
      <c r="H48" s="55"/>
      <c r="I48" s="56"/>
    </row>
    <row r="49" spans="1:9" x14ac:dyDescent="0.2">
      <c r="A49" s="115"/>
      <c r="B49" s="49">
        <v>8</v>
      </c>
      <c r="C49" s="51"/>
      <c r="D49" s="51" t="s">
        <v>10</v>
      </c>
      <c r="E49" s="51" t="s">
        <v>61</v>
      </c>
      <c r="F49" s="51">
        <v>0.28000000000000003</v>
      </c>
      <c r="G49" s="52">
        <f t="shared" si="1"/>
        <v>4.6760319793827075E-3</v>
      </c>
      <c r="H49" s="55"/>
      <c r="I49" s="56"/>
    </row>
    <row r="50" spans="1:9" x14ac:dyDescent="0.2">
      <c r="A50" s="115"/>
      <c r="B50" s="49">
        <v>9</v>
      </c>
      <c r="C50" s="51"/>
      <c r="D50" s="51" t="s">
        <v>10</v>
      </c>
      <c r="E50" s="51" t="s">
        <v>62</v>
      </c>
      <c r="F50" s="51">
        <v>0.11799999999999999</v>
      </c>
      <c r="G50" s="57">
        <f t="shared" si="1"/>
        <v>1.9706134770255692E-3</v>
      </c>
      <c r="H50" s="55"/>
      <c r="I50" s="56"/>
    </row>
    <row r="51" spans="1:9" x14ac:dyDescent="0.2">
      <c r="A51" s="115"/>
      <c r="B51" s="49">
        <v>10</v>
      </c>
      <c r="C51" s="51"/>
      <c r="D51" s="51" t="s">
        <v>10</v>
      </c>
      <c r="E51" s="51" t="s">
        <v>63</v>
      </c>
      <c r="F51" s="51">
        <v>8.5099999999999995E-2</v>
      </c>
      <c r="G51" s="57">
        <f t="shared" si="1"/>
        <v>1.4211797194481012E-3</v>
      </c>
      <c r="H51" s="55"/>
      <c r="I51" s="56"/>
    </row>
    <row r="52" spans="1:9" x14ac:dyDescent="0.2">
      <c r="A52" s="115"/>
      <c r="B52" s="49">
        <v>11</v>
      </c>
      <c r="C52" s="51"/>
      <c r="D52" s="51" t="s">
        <v>10</v>
      </c>
      <c r="E52" s="58" t="s">
        <v>64</v>
      </c>
      <c r="F52" s="51">
        <v>0.13500000000000001</v>
      </c>
      <c r="G52" s="57">
        <f t="shared" si="1"/>
        <v>2.2545154186309484E-3</v>
      </c>
      <c r="H52" s="55"/>
      <c r="I52" s="56"/>
    </row>
    <row r="53" spans="1:9" ht="16" thickBot="1" x14ac:dyDescent="0.25">
      <c r="A53" s="115"/>
      <c r="B53" s="49">
        <v>12</v>
      </c>
      <c r="C53" s="59"/>
      <c r="D53" s="59" t="s">
        <v>10</v>
      </c>
      <c r="E53" s="59" t="s">
        <v>65</v>
      </c>
      <c r="F53" s="59">
        <v>2.5049999999999999</v>
      </c>
      <c r="G53" s="60">
        <f t="shared" si="1"/>
        <v>4.1833786101263148E-2</v>
      </c>
      <c r="H53" s="61" t="s">
        <v>57</v>
      </c>
      <c r="I53" s="62" t="s">
        <v>58</v>
      </c>
    </row>
    <row r="54" spans="1:9" ht="17" thickTop="1" thickBot="1" x14ac:dyDescent="0.25">
      <c r="A54" s="115"/>
      <c r="B54" s="15">
        <v>13</v>
      </c>
      <c r="C54" s="63" t="s">
        <v>44</v>
      </c>
      <c r="D54" s="63" t="s">
        <v>44</v>
      </c>
      <c r="E54" s="63" t="s">
        <v>44</v>
      </c>
      <c r="F54" s="63" t="s">
        <v>44</v>
      </c>
      <c r="G54" s="46" t="s">
        <v>44</v>
      </c>
      <c r="H54" s="64" t="s">
        <v>44</v>
      </c>
      <c r="I54" s="65" t="s">
        <v>44</v>
      </c>
    </row>
    <row r="55" spans="1:9" ht="16" thickTop="1" x14ac:dyDescent="0.2">
      <c r="A55" s="115"/>
      <c r="B55" s="49">
        <v>14</v>
      </c>
      <c r="C55" s="50">
        <v>46028</v>
      </c>
      <c r="D55" s="51" t="s">
        <v>10</v>
      </c>
      <c r="E55" s="51" t="s">
        <v>66</v>
      </c>
      <c r="F55" s="51">
        <v>20.399999999999999</v>
      </c>
      <c r="G55" s="57">
        <f>F55/SUM($F$55:$F$59)</f>
        <v>0.88376727461768412</v>
      </c>
      <c r="H55" s="53" t="s">
        <v>67</v>
      </c>
      <c r="I55" s="54" t="s">
        <v>68</v>
      </c>
    </row>
    <row r="56" spans="1:9" x14ac:dyDescent="0.2">
      <c r="A56" s="115"/>
      <c r="B56" s="49">
        <v>15</v>
      </c>
      <c r="C56" s="51"/>
      <c r="D56" s="51" t="s">
        <v>10</v>
      </c>
      <c r="E56" s="51" t="s">
        <v>69</v>
      </c>
      <c r="F56" s="51">
        <v>1.522</v>
      </c>
      <c r="G56" s="52">
        <f>F56/SUM($F$55:$F$59)</f>
        <v>6.5935970194515456E-2</v>
      </c>
      <c r="H56" s="55"/>
      <c r="I56" s="56"/>
    </row>
    <row r="57" spans="1:9" x14ac:dyDescent="0.2">
      <c r="A57" s="115"/>
      <c r="B57" s="49">
        <v>16</v>
      </c>
      <c r="C57" s="51"/>
      <c r="D57" s="51" t="s">
        <v>10</v>
      </c>
      <c r="E57" s="51" t="s">
        <v>70</v>
      </c>
      <c r="F57" s="51">
        <v>0.41499999999999998</v>
      </c>
      <c r="G57" s="57">
        <f>F57/SUM($F$55:$F$59)</f>
        <v>1.7978598968938182E-2</v>
      </c>
      <c r="H57" s="55"/>
      <c r="I57" s="56"/>
    </row>
    <row r="58" spans="1:9" x14ac:dyDescent="0.2">
      <c r="A58" s="115"/>
      <c r="B58" s="49">
        <v>17</v>
      </c>
      <c r="C58" s="51"/>
      <c r="D58" s="51" t="s">
        <v>10</v>
      </c>
      <c r="E58" s="51" t="s">
        <v>71</v>
      </c>
      <c r="F58" s="51">
        <v>2.1999999999999999E-2</v>
      </c>
      <c r="G58" s="57">
        <f>F58/SUM($F$55:$F$59)</f>
        <v>9.5308235497985547E-4</v>
      </c>
      <c r="H58" s="55"/>
      <c r="I58" s="56"/>
    </row>
    <row r="59" spans="1:9" ht="16" thickBot="1" x14ac:dyDescent="0.25">
      <c r="A59" s="115"/>
      <c r="B59" s="49">
        <v>18</v>
      </c>
      <c r="C59" s="59"/>
      <c r="D59" s="59" t="s">
        <v>10</v>
      </c>
      <c r="E59" s="59" t="s">
        <v>72</v>
      </c>
      <c r="F59" s="59">
        <v>0.72399999999999998</v>
      </c>
      <c r="G59" s="60">
        <f>F59/SUM($F$55:$F$59)</f>
        <v>3.1365073863882514E-2</v>
      </c>
      <c r="H59" s="61" t="s">
        <v>67</v>
      </c>
      <c r="I59" s="62" t="s">
        <v>68</v>
      </c>
    </row>
    <row r="60" spans="1:9" ht="16" thickTop="1" x14ac:dyDescent="0.2">
      <c r="A60" s="115"/>
      <c r="B60" s="15">
        <v>19</v>
      </c>
      <c r="C60" t="s">
        <v>44</v>
      </c>
      <c r="D60" t="s">
        <v>44</v>
      </c>
      <c r="E60" t="s">
        <v>44</v>
      </c>
      <c r="F60" t="s">
        <v>44</v>
      </c>
      <c r="G60" s="12" t="s">
        <v>44</v>
      </c>
      <c r="H60" t="s">
        <v>44</v>
      </c>
      <c r="I60" s="37" t="s">
        <v>44</v>
      </c>
    </row>
    <row r="61" spans="1:9" ht="16" thickBot="1" x14ac:dyDescent="0.25">
      <c r="A61" s="115"/>
      <c r="B61" s="15">
        <v>20</v>
      </c>
      <c r="C61" s="44" t="s">
        <v>44</v>
      </c>
      <c r="D61" s="44" t="s">
        <v>44</v>
      </c>
      <c r="E61" s="44" t="s">
        <v>44</v>
      </c>
      <c r="F61" s="44" t="s">
        <v>44</v>
      </c>
      <c r="G61" s="20" t="s">
        <v>44</v>
      </c>
      <c r="H61" s="44" t="s">
        <v>44</v>
      </c>
      <c r="I61" s="66" t="s">
        <v>44</v>
      </c>
    </row>
    <row r="62" spans="1:9" ht="16" thickTop="1" x14ac:dyDescent="0.2">
      <c r="A62" s="115"/>
      <c r="B62" s="15">
        <v>21</v>
      </c>
      <c r="C62" s="30">
        <v>46031</v>
      </c>
      <c r="D62" t="s">
        <v>10</v>
      </c>
      <c r="E62" t="s">
        <v>73</v>
      </c>
      <c r="F62" s="31">
        <v>410</v>
      </c>
      <c r="G62" s="32">
        <f t="shared" ref="G62:G74" si="2">F62/SUM($F$62:$F$74)</f>
        <v>0.40751416360202758</v>
      </c>
      <c r="H62" s="2" t="s">
        <v>74</v>
      </c>
      <c r="I62" s="33" t="s">
        <v>75</v>
      </c>
    </row>
    <row r="63" spans="1:9" x14ac:dyDescent="0.2">
      <c r="A63" s="115"/>
      <c r="B63" s="15">
        <v>22</v>
      </c>
      <c r="D63" t="s">
        <v>10</v>
      </c>
      <c r="E63" t="s">
        <v>55</v>
      </c>
      <c r="F63" s="31">
        <v>205</v>
      </c>
      <c r="G63" s="32">
        <f t="shared" si="2"/>
        <v>0.20375708180101379</v>
      </c>
      <c r="H63" s="18"/>
      <c r="I63" s="19"/>
    </row>
    <row r="64" spans="1:9" x14ac:dyDescent="0.2">
      <c r="A64" s="115"/>
      <c r="B64" s="15">
        <v>23</v>
      </c>
      <c r="D64" t="s">
        <v>10</v>
      </c>
      <c r="E64" t="s">
        <v>33</v>
      </c>
      <c r="F64" s="31">
        <v>1.6</v>
      </c>
      <c r="G64" s="32">
        <f t="shared" si="2"/>
        <v>1.5902991750323028E-3</v>
      </c>
      <c r="H64" s="18"/>
      <c r="I64" s="19"/>
    </row>
    <row r="65" spans="1:9" x14ac:dyDescent="0.2">
      <c r="A65" s="115"/>
      <c r="B65" s="15">
        <v>24</v>
      </c>
      <c r="D65" t="s">
        <v>10</v>
      </c>
      <c r="E65" t="s">
        <v>76</v>
      </c>
      <c r="F65" s="31">
        <v>1.6</v>
      </c>
      <c r="G65" s="32">
        <f t="shared" si="2"/>
        <v>1.5902991750323028E-3</v>
      </c>
      <c r="H65" s="18"/>
      <c r="I65" s="19"/>
    </row>
    <row r="66" spans="1:9" x14ac:dyDescent="0.2">
      <c r="A66" s="115"/>
      <c r="B66" s="15">
        <v>25</v>
      </c>
      <c r="D66" t="s">
        <v>10</v>
      </c>
      <c r="E66" t="s">
        <v>77</v>
      </c>
      <c r="F66" s="31">
        <v>9</v>
      </c>
      <c r="G66" s="32">
        <f t="shared" si="2"/>
        <v>8.9454328595567033E-3</v>
      </c>
      <c r="H66" s="18"/>
      <c r="I66" s="19"/>
    </row>
    <row r="67" spans="1:9" x14ac:dyDescent="0.2">
      <c r="A67" s="115"/>
      <c r="B67" s="15">
        <v>26</v>
      </c>
      <c r="D67" t="s">
        <v>10</v>
      </c>
      <c r="E67" t="s">
        <v>78</v>
      </c>
      <c r="F67" s="31">
        <v>201.6</v>
      </c>
      <c r="G67" s="32">
        <f t="shared" si="2"/>
        <v>0.20037769605407013</v>
      </c>
      <c r="H67" s="18"/>
      <c r="I67" s="19"/>
    </row>
    <row r="68" spans="1:9" x14ac:dyDescent="0.2">
      <c r="A68" s="115"/>
      <c r="B68" s="15">
        <v>27</v>
      </c>
      <c r="D68" t="s">
        <v>10</v>
      </c>
      <c r="E68" t="s">
        <v>79</v>
      </c>
      <c r="F68" s="31">
        <v>100.8</v>
      </c>
      <c r="G68" s="12">
        <f t="shared" si="2"/>
        <v>0.10018884802703507</v>
      </c>
      <c r="H68" s="18"/>
      <c r="I68" s="19"/>
    </row>
    <row r="69" spans="1:9" x14ac:dyDescent="0.2">
      <c r="A69" s="115"/>
      <c r="B69" s="15">
        <v>28</v>
      </c>
      <c r="D69" t="s">
        <v>10</v>
      </c>
      <c r="E69" t="s">
        <v>80</v>
      </c>
      <c r="F69" s="31">
        <v>1.4</v>
      </c>
      <c r="G69" s="32">
        <f t="shared" si="2"/>
        <v>1.3915117781532647E-3</v>
      </c>
      <c r="H69" s="18"/>
      <c r="I69" s="19"/>
    </row>
    <row r="70" spans="1:9" x14ac:dyDescent="0.2">
      <c r="A70" s="115"/>
      <c r="B70" s="15">
        <v>29</v>
      </c>
      <c r="D70" t="s">
        <v>10</v>
      </c>
      <c r="E70" t="s">
        <v>81</v>
      </c>
      <c r="F70" s="31">
        <v>2.7</v>
      </c>
      <c r="G70" s="32">
        <f t="shared" si="2"/>
        <v>2.6836298578670112E-3</v>
      </c>
      <c r="H70" s="18"/>
      <c r="I70" s="19"/>
    </row>
    <row r="71" spans="1:9" x14ac:dyDescent="0.2">
      <c r="A71" s="115"/>
      <c r="B71" s="15">
        <v>30</v>
      </c>
      <c r="D71" t="s">
        <v>10</v>
      </c>
      <c r="E71" t="s">
        <v>82</v>
      </c>
      <c r="F71" s="31">
        <v>4.5</v>
      </c>
      <c r="G71" s="12">
        <f t="shared" si="2"/>
        <v>4.4727164297783516E-3</v>
      </c>
      <c r="H71" s="18"/>
      <c r="I71" s="19"/>
    </row>
    <row r="72" spans="1:9" x14ac:dyDescent="0.2">
      <c r="A72" s="115"/>
      <c r="B72" s="15">
        <v>31</v>
      </c>
      <c r="D72" t="s">
        <v>10</v>
      </c>
      <c r="E72" t="s">
        <v>83</v>
      </c>
      <c r="F72" s="31">
        <v>1.7</v>
      </c>
      <c r="G72" s="12">
        <f t="shared" si="2"/>
        <v>1.6896928734718216E-3</v>
      </c>
      <c r="H72" s="18"/>
      <c r="I72" s="19"/>
    </row>
    <row r="73" spans="1:9" x14ac:dyDescent="0.2">
      <c r="A73" s="115"/>
      <c r="B73" s="15">
        <v>32</v>
      </c>
      <c r="D73" t="s">
        <v>10</v>
      </c>
      <c r="E73" t="s">
        <v>59</v>
      </c>
      <c r="F73" s="31">
        <v>58.2</v>
      </c>
      <c r="G73" s="32">
        <f t="shared" si="2"/>
        <v>5.7847132491800013E-2</v>
      </c>
      <c r="H73" s="18"/>
      <c r="I73" s="19"/>
    </row>
    <row r="74" spans="1:9" x14ac:dyDescent="0.2">
      <c r="A74" s="115"/>
      <c r="B74" s="15">
        <v>33</v>
      </c>
      <c r="D74" t="s">
        <v>10</v>
      </c>
      <c r="E74" t="s">
        <v>15</v>
      </c>
      <c r="F74" s="31">
        <v>8</v>
      </c>
      <c r="G74" s="32">
        <f t="shared" si="2"/>
        <v>7.9514958751615138E-3</v>
      </c>
      <c r="H74" s="18"/>
      <c r="I74" s="19"/>
    </row>
    <row r="75" spans="1:9" ht="16" thickBot="1" x14ac:dyDescent="0.25">
      <c r="A75" s="115"/>
      <c r="B75" s="15">
        <v>34</v>
      </c>
      <c r="C75" s="44"/>
      <c r="D75" s="44" t="s">
        <v>17</v>
      </c>
      <c r="E75" s="44" t="s">
        <v>45</v>
      </c>
      <c r="F75" s="45">
        <v>47</v>
      </c>
      <c r="G75" s="20" t="s">
        <v>19</v>
      </c>
      <c r="H75" s="28" t="s">
        <v>74</v>
      </c>
      <c r="I75" s="29" t="s">
        <v>75</v>
      </c>
    </row>
    <row r="76" spans="1:9" ht="16" thickTop="1" x14ac:dyDescent="0.2">
      <c r="A76" s="115"/>
      <c r="B76" s="15">
        <v>35</v>
      </c>
      <c r="C76" s="30">
        <v>46031</v>
      </c>
      <c r="D76" t="s">
        <v>10</v>
      </c>
      <c r="E76" t="s">
        <v>84</v>
      </c>
      <c r="F76" s="31">
        <v>400</v>
      </c>
      <c r="G76" s="32">
        <f t="shared" ref="G76:G88" si="3">F76/SUM($F$76:$F$88)</f>
        <v>0.3182063345335015</v>
      </c>
      <c r="H76" s="2" t="s">
        <v>85</v>
      </c>
      <c r="I76" s="33" t="s">
        <v>86</v>
      </c>
    </row>
    <row r="77" spans="1:9" x14ac:dyDescent="0.2">
      <c r="A77" s="115"/>
      <c r="B77" s="15">
        <v>36</v>
      </c>
      <c r="D77" t="s">
        <v>10</v>
      </c>
      <c r="E77" t="s">
        <v>37</v>
      </c>
      <c r="F77" s="31">
        <v>0.66600000000000004</v>
      </c>
      <c r="G77" s="32">
        <f t="shared" si="3"/>
        <v>5.2981354699827997E-4</v>
      </c>
      <c r="H77" s="18"/>
      <c r="I77" s="19"/>
    </row>
    <row r="78" spans="1:9" x14ac:dyDescent="0.2">
      <c r="A78" s="115"/>
      <c r="B78" s="15">
        <v>37</v>
      </c>
      <c r="D78" t="s">
        <v>10</v>
      </c>
      <c r="E78" t="s">
        <v>76</v>
      </c>
      <c r="F78" s="31">
        <v>3.3</v>
      </c>
      <c r="G78" s="32">
        <f t="shared" si="3"/>
        <v>2.625202259901387E-3</v>
      </c>
      <c r="H78" s="18"/>
      <c r="I78" s="19"/>
    </row>
    <row r="79" spans="1:9" x14ac:dyDescent="0.2">
      <c r="A79" s="115"/>
      <c r="B79" s="15">
        <v>38</v>
      </c>
      <c r="D79" t="s">
        <v>10</v>
      </c>
      <c r="E79" t="s">
        <v>87</v>
      </c>
      <c r="F79" s="31">
        <v>10</v>
      </c>
      <c r="G79" s="32">
        <f t="shared" si="3"/>
        <v>7.9551583633375375E-3</v>
      </c>
      <c r="H79" s="18"/>
      <c r="I79" s="19"/>
    </row>
    <row r="80" spans="1:9" x14ac:dyDescent="0.2">
      <c r="A80" s="115"/>
      <c r="B80" s="15">
        <v>39</v>
      </c>
      <c r="D80" t="s">
        <v>10</v>
      </c>
      <c r="E80" t="s">
        <v>42</v>
      </c>
      <c r="F80" s="31">
        <v>7.1</v>
      </c>
      <c r="G80" s="12">
        <f t="shared" si="3"/>
        <v>5.648162437969651E-3</v>
      </c>
      <c r="H80" s="18"/>
      <c r="I80" s="19"/>
    </row>
    <row r="81" spans="1:9" ht="16" thickBot="1" x14ac:dyDescent="0.25">
      <c r="A81" s="116"/>
      <c r="B81" s="38">
        <v>40</v>
      </c>
      <c r="C81" s="40"/>
      <c r="D81" s="40" t="s">
        <v>10</v>
      </c>
      <c r="E81" s="40" t="s">
        <v>38</v>
      </c>
      <c r="F81" s="67">
        <v>96.6</v>
      </c>
      <c r="G81" s="41">
        <f t="shared" si="3"/>
        <v>7.6846829789840601E-2</v>
      </c>
      <c r="H81" s="68" t="s">
        <v>85</v>
      </c>
      <c r="I81" s="69" t="s">
        <v>86</v>
      </c>
    </row>
    <row r="82" spans="1:9" x14ac:dyDescent="0.2">
      <c r="A82" s="114" t="s">
        <v>88</v>
      </c>
      <c r="B82" s="8">
        <v>1</v>
      </c>
      <c r="C82" s="30">
        <v>46031</v>
      </c>
      <c r="D82" t="s">
        <v>10</v>
      </c>
      <c r="E82" t="s">
        <v>89</v>
      </c>
      <c r="F82" s="31">
        <v>2.73</v>
      </c>
      <c r="G82" s="32">
        <f t="shared" si="3"/>
        <v>2.1717582331911476E-3</v>
      </c>
      <c r="H82" s="2" t="s">
        <v>85</v>
      </c>
      <c r="I82" s="33" t="s">
        <v>86</v>
      </c>
    </row>
    <row r="83" spans="1:9" x14ac:dyDescent="0.2">
      <c r="A83" s="115"/>
      <c r="B83" s="15">
        <v>2</v>
      </c>
      <c r="D83" t="s">
        <v>10</v>
      </c>
      <c r="E83" t="s">
        <v>90</v>
      </c>
      <c r="F83" s="31">
        <v>666</v>
      </c>
      <c r="G83" s="32">
        <f t="shared" si="3"/>
        <v>0.52981354699827998</v>
      </c>
      <c r="H83" s="18"/>
      <c r="I83" s="19"/>
    </row>
    <row r="84" spans="1:9" x14ac:dyDescent="0.2">
      <c r="A84" s="115"/>
      <c r="B84" s="15">
        <v>3</v>
      </c>
      <c r="D84" t="s">
        <v>10</v>
      </c>
      <c r="E84" t="s">
        <v>11</v>
      </c>
      <c r="F84" s="31">
        <v>35.700000000000003</v>
      </c>
      <c r="G84" s="32">
        <f t="shared" si="3"/>
        <v>2.8399915357115009E-2</v>
      </c>
      <c r="H84" s="18"/>
      <c r="I84" s="19"/>
    </row>
    <row r="85" spans="1:9" x14ac:dyDescent="0.2">
      <c r="A85" s="115"/>
      <c r="B85" s="15">
        <v>4</v>
      </c>
      <c r="D85" t="s">
        <v>10</v>
      </c>
      <c r="E85" t="s">
        <v>15</v>
      </c>
      <c r="F85" s="31">
        <v>15.95</v>
      </c>
      <c r="G85" s="32">
        <f t="shared" si="3"/>
        <v>1.2688477589523371E-2</v>
      </c>
      <c r="H85" s="18"/>
      <c r="I85" s="19"/>
    </row>
    <row r="86" spans="1:9" x14ac:dyDescent="0.2">
      <c r="A86" s="115"/>
      <c r="B86" s="15">
        <v>5</v>
      </c>
      <c r="D86" t="s">
        <v>10</v>
      </c>
      <c r="E86" t="s">
        <v>23</v>
      </c>
      <c r="F86" s="31">
        <v>12.6</v>
      </c>
      <c r="G86" s="12">
        <f t="shared" si="3"/>
        <v>1.0023499537805297E-2</v>
      </c>
      <c r="H86" s="18"/>
      <c r="I86" s="19"/>
    </row>
    <row r="87" spans="1:9" x14ac:dyDescent="0.2">
      <c r="A87" s="115"/>
      <c r="B87" s="15">
        <v>6</v>
      </c>
      <c r="D87" t="s">
        <v>10</v>
      </c>
      <c r="E87" t="s">
        <v>91</v>
      </c>
      <c r="F87" s="31">
        <v>3.7</v>
      </c>
      <c r="G87" s="32">
        <f t="shared" si="3"/>
        <v>2.9434085944348891E-3</v>
      </c>
      <c r="H87" s="18"/>
      <c r="I87" s="19"/>
    </row>
    <row r="88" spans="1:9" x14ac:dyDescent="0.2">
      <c r="A88" s="115"/>
      <c r="B88" s="15">
        <v>7</v>
      </c>
      <c r="D88" t="s">
        <v>10</v>
      </c>
      <c r="E88" t="s">
        <v>92</v>
      </c>
      <c r="F88" s="31">
        <v>2.7</v>
      </c>
      <c r="G88" s="12">
        <f t="shared" si="3"/>
        <v>2.147892758101135E-3</v>
      </c>
      <c r="H88" s="18"/>
      <c r="I88" s="19"/>
    </row>
    <row r="89" spans="1:9" x14ac:dyDescent="0.2">
      <c r="A89" s="115"/>
      <c r="B89" s="15">
        <v>8</v>
      </c>
      <c r="D89" t="s">
        <v>17</v>
      </c>
      <c r="E89" t="s">
        <v>93</v>
      </c>
      <c r="F89" s="31">
        <v>50</v>
      </c>
      <c r="G89" s="32" t="s">
        <v>19</v>
      </c>
      <c r="H89" s="18"/>
      <c r="I89" s="19"/>
    </row>
    <row r="90" spans="1:9" x14ac:dyDescent="0.2">
      <c r="A90" s="115"/>
      <c r="B90" s="15">
        <v>9</v>
      </c>
      <c r="D90" t="s">
        <v>17</v>
      </c>
      <c r="E90" t="s">
        <v>45</v>
      </c>
      <c r="F90" s="31">
        <v>8</v>
      </c>
      <c r="G90" s="32" t="s">
        <v>19</v>
      </c>
      <c r="H90" s="18"/>
      <c r="I90" s="19"/>
    </row>
    <row r="91" spans="1:9" ht="16" thickBot="1" x14ac:dyDescent="0.25">
      <c r="A91" s="115"/>
      <c r="B91" s="15">
        <v>10</v>
      </c>
      <c r="C91" s="44"/>
      <c r="D91" s="44" t="s">
        <v>17</v>
      </c>
      <c r="E91" s="44" t="s">
        <v>46</v>
      </c>
      <c r="F91" s="45">
        <v>1</v>
      </c>
      <c r="G91" s="20" t="s">
        <v>19</v>
      </c>
      <c r="H91" s="28" t="s">
        <v>85</v>
      </c>
      <c r="I91" s="29" t="s">
        <v>86</v>
      </c>
    </row>
    <row r="92" spans="1:9" ht="16" thickTop="1" x14ac:dyDescent="0.2">
      <c r="A92" s="115"/>
      <c r="B92" s="15">
        <v>11</v>
      </c>
      <c r="C92" s="30">
        <v>46031</v>
      </c>
      <c r="D92" t="s">
        <v>10</v>
      </c>
      <c r="E92" t="s">
        <v>94</v>
      </c>
      <c r="F92" s="31">
        <v>180</v>
      </c>
      <c r="G92" s="32">
        <f t="shared" ref="G92:G97" si="4">F92/SUM($F$92:$F$97)</f>
        <v>0.49820094104622198</v>
      </c>
      <c r="H92" s="2" t="s">
        <v>95</v>
      </c>
      <c r="I92" s="33" t="s">
        <v>96</v>
      </c>
    </row>
    <row r="93" spans="1:9" x14ac:dyDescent="0.2">
      <c r="A93" s="115"/>
      <c r="B93" s="15">
        <v>12</v>
      </c>
      <c r="D93" t="s">
        <v>10</v>
      </c>
      <c r="E93" t="s">
        <v>51</v>
      </c>
      <c r="F93" s="31">
        <v>2.6</v>
      </c>
      <c r="G93" s="32">
        <f t="shared" si="4"/>
        <v>7.1962358151120955E-3</v>
      </c>
      <c r="H93" s="18"/>
      <c r="I93" s="19"/>
    </row>
    <row r="94" spans="1:9" x14ac:dyDescent="0.2">
      <c r="A94" s="115"/>
      <c r="B94" s="15">
        <v>13</v>
      </c>
      <c r="D94" t="s">
        <v>10</v>
      </c>
      <c r="E94" t="s">
        <v>11</v>
      </c>
      <c r="F94" s="31">
        <v>122</v>
      </c>
      <c r="G94" s="32">
        <f t="shared" si="4"/>
        <v>0.33766952670910599</v>
      </c>
      <c r="H94" s="18"/>
      <c r="I94" s="19"/>
    </row>
    <row r="95" spans="1:9" x14ac:dyDescent="0.2">
      <c r="A95" s="115"/>
      <c r="B95" s="15">
        <v>14</v>
      </c>
      <c r="D95" t="s">
        <v>10</v>
      </c>
      <c r="E95" t="s">
        <v>23</v>
      </c>
      <c r="F95" s="31">
        <v>10.5</v>
      </c>
      <c r="G95" s="32">
        <f t="shared" si="4"/>
        <v>2.9061721561029614E-2</v>
      </c>
      <c r="H95" s="18"/>
      <c r="I95" s="19"/>
    </row>
    <row r="96" spans="1:9" x14ac:dyDescent="0.2">
      <c r="A96" s="115"/>
      <c r="B96" s="15">
        <v>15</v>
      </c>
      <c r="D96" t="s">
        <v>10</v>
      </c>
      <c r="E96" t="s">
        <v>15</v>
      </c>
      <c r="F96" s="31">
        <v>29</v>
      </c>
      <c r="G96" s="32">
        <f t="shared" si="4"/>
        <v>8.0265707168557979E-2</v>
      </c>
      <c r="H96" s="18"/>
      <c r="I96" s="19"/>
    </row>
    <row r="97" spans="1:9" x14ac:dyDescent="0.2">
      <c r="A97" s="115"/>
      <c r="B97" s="15">
        <v>16</v>
      </c>
      <c r="D97" t="s">
        <v>10</v>
      </c>
      <c r="E97" t="s">
        <v>97</v>
      </c>
      <c r="F97" s="31">
        <v>17.2</v>
      </c>
      <c r="G97" s="32">
        <f t="shared" si="4"/>
        <v>4.7605867699972319E-2</v>
      </c>
      <c r="H97" s="18"/>
      <c r="I97" s="19"/>
    </row>
    <row r="98" spans="1:9" ht="16" thickBot="1" x14ac:dyDescent="0.25">
      <c r="A98" s="115"/>
      <c r="B98" s="15">
        <v>17</v>
      </c>
      <c r="C98" s="44"/>
      <c r="D98" s="44" t="s">
        <v>17</v>
      </c>
      <c r="E98" s="44" t="s">
        <v>98</v>
      </c>
      <c r="F98" s="45">
        <v>82</v>
      </c>
      <c r="G98" s="20" t="s">
        <v>19</v>
      </c>
      <c r="H98" s="28" t="s">
        <v>95</v>
      </c>
      <c r="I98" s="29" t="s">
        <v>96</v>
      </c>
    </row>
    <row r="99" spans="1:9" ht="16" thickTop="1" x14ac:dyDescent="0.2">
      <c r="A99" s="115"/>
      <c r="B99" s="49">
        <v>18</v>
      </c>
      <c r="C99" s="50">
        <v>46031</v>
      </c>
      <c r="D99" s="51" t="s">
        <v>10</v>
      </c>
      <c r="E99" s="51" t="s">
        <v>99</v>
      </c>
      <c r="F99" s="51">
        <v>92.7</v>
      </c>
      <c r="G99" s="57">
        <f>F99/SUM($F$99:$F$106)</f>
        <v>0.54995253915519693</v>
      </c>
      <c r="H99" s="53" t="s">
        <v>100</v>
      </c>
      <c r="I99" s="54" t="s">
        <v>101</v>
      </c>
    </row>
    <row r="100" spans="1:9" x14ac:dyDescent="0.2">
      <c r="A100" s="115"/>
      <c r="B100" s="49">
        <v>19</v>
      </c>
      <c r="C100" s="51"/>
      <c r="D100" s="51" t="s">
        <v>10</v>
      </c>
      <c r="E100" s="1" t="s">
        <v>102</v>
      </c>
      <c r="F100" s="1">
        <v>2.83</v>
      </c>
      <c r="G100" s="57">
        <f>F100/SUM($F$99:$F$106)</f>
        <v>1.6789273849074512E-2</v>
      </c>
      <c r="H100" s="55"/>
      <c r="I100" s="56"/>
    </row>
    <row r="101" spans="1:9" x14ac:dyDescent="0.2">
      <c r="A101" s="115"/>
      <c r="B101" s="49">
        <v>20</v>
      </c>
      <c r="C101" s="51"/>
      <c r="D101" s="51" t="s">
        <v>10</v>
      </c>
      <c r="E101" s="1" t="s">
        <v>103</v>
      </c>
      <c r="F101" s="1">
        <v>1.39</v>
      </c>
      <c r="G101" s="57">
        <f>F101/SUM($F$99:$F$106)</f>
        <v>8.2463217845277631E-3</v>
      </c>
      <c r="H101" s="55"/>
      <c r="I101" s="56"/>
    </row>
    <row r="102" spans="1:9" x14ac:dyDescent="0.2">
      <c r="A102" s="115"/>
      <c r="B102" s="49">
        <v>21</v>
      </c>
      <c r="C102" s="51"/>
      <c r="D102" s="51" t="s">
        <v>10</v>
      </c>
      <c r="E102" s="51" t="s">
        <v>87</v>
      </c>
      <c r="F102" s="51">
        <v>2.64</v>
      </c>
      <c r="G102" s="52">
        <f>F102/SUM($F$99:$F$106)</f>
        <v>1.5662078785002375E-2</v>
      </c>
      <c r="H102" s="55"/>
      <c r="I102" s="56"/>
    </row>
    <row r="103" spans="1:9" ht="16" thickBot="1" x14ac:dyDescent="0.25">
      <c r="A103" s="115"/>
      <c r="B103" s="49">
        <v>22</v>
      </c>
      <c r="C103" s="59"/>
      <c r="D103" s="59" t="s">
        <v>10</v>
      </c>
      <c r="E103" s="59" t="s">
        <v>42</v>
      </c>
      <c r="F103" s="59">
        <v>1.68</v>
      </c>
      <c r="G103" s="60">
        <f>F103/SUM($F$99:$F$106)</f>
        <v>9.9667774086378731E-3</v>
      </c>
      <c r="H103" s="61" t="s">
        <v>100</v>
      </c>
      <c r="I103" s="62" t="s">
        <v>101</v>
      </c>
    </row>
    <row r="104" spans="1:9" ht="16" thickTop="1" x14ac:dyDescent="0.2">
      <c r="A104" s="115"/>
      <c r="B104" s="15">
        <v>23</v>
      </c>
      <c r="C104" s="30">
        <v>46031</v>
      </c>
      <c r="D104" t="s">
        <v>10</v>
      </c>
      <c r="E104" t="s">
        <v>15</v>
      </c>
      <c r="F104" s="31">
        <v>63.12</v>
      </c>
      <c r="G104" s="32">
        <f>F104/SUM($F$104:$F$106)</f>
        <v>0.9376114081996435</v>
      </c>
      <c r="H104" s="2" t="s">
        <v>104</v>
      </c>
      <c r="I104" s="33" t="s">
        <v>105</v>
      </c>
    </row>
    <row r="105" spans="1:9" x14ac:dyDescent="0.2">
      <c r="A105" s="115"/>
      <c r="B105" s="15">
        <v>24</v>
      </c>
      <c r="D105" t="s">
        <v>10</v>
      </c>
      <c r="E105" t="s">
        <v>22</v>
      </c>
      <c r="F105" s="31">
        <v>2.1</v>
      </c>
      <c r="G105" s="32">
        <f>F105/SUM($F$104:$F$106)</f>
        <v>3.1194295900178259E-2</v>
      </c>
      <c r="H105" s="18"/>
      <c r="I105" s="19"/>
    </row>
    <row r="106" spans="1:9" x14ac:dyDescent="0.2">
      <c r="A106" s="115"/>
      <c r="B106" s="15">
        <v>25</v>
      </c>
      <c r="D106" t="s">
        <v>10</v>
      </c>
      <c r="E106" t="s">
        <v>23</v>
      </c>
      <c r="F106" s="31">
        <v>2.1</v>
      </c>
      <c r="G106" s="32">
        <f>F106/SUM($F$104:$F$106)</f>
        <v>3.1194295900178259E-2</v>
      </c>
      <c r="H106" s="18"/>
      <c r="I106" s="19"/>
    </row>
    <row r="107" spans="1:9" ht="16" thickBot="1" x14ac:dyDescent="0.25">
      <c r="A107" s="115"/>
      <c r="B107" s="15">
        <v>26</v>
      </c>
      <c r="C107" s="44"/>
      <c r="D107" s="44" t="s">
        <v>17</v>
      </c>
      <c r="E107" s="44" t="s">
        <v>18</v>
      </c>
      <c r="F107" s="45">
        <v>4</v>
      </c>
      <c r="G107" s="20" t="s">
        <v>19</v>
      </c>
      <c r="H107" s="28" t="s">
        <v>104</v>
      </c>
      <c r="I107" s="29" t="s">
        <v>105</v>
      </c>
    </row>
    <row r="108" spans="1:9" ht="16" thickTop="1" x14ac:dyDescent="0.2">
      <c r="A108" s="115"/>
      <c r="B108" s="49">
        <v>27</v>
      </c>
      <c r="C108" s="50">
        <v>46031</v>
      </c>
      <c r="D108" s="51" t="s">
        <v>10</v>
      </c>
      <c r="E108" s="51" t="s">
        <v>106</v>
      </c>
      <c r="F108" s="51">
        <v>2.74</v>
      </c>
      <c r="G108" s="52">
        <f>F108/SUM($F$108:$F$112)</f>
        <v>0.15920976176641488</v>
      </c>
      <c r="H108" s="53" t="s">
        <v>107</v>
      </c>
      <c r="I108" s="54" t="s">
        <v>108</v>
      </c>
    </row>
    <row r="109" spans="1:9" x14ac:dyDescent="0.2">
      <c r="A109" s="115"/>
      <c r="B109" s="49">
        <v>28</v>
      </c>
      <c r="C109" s="51"/>
      <c r="D109" s="51" t="s">
        <v>10</v>
      </c>
      <c r="E109" s="51" t="s">
        <v>61</v>
      </c>
      <c r="F109" s="51">
        <v>1.1299999999999999</v>
      </c>
      <c r="G109" s="57">
        <f>F109/SUM($F$108:$F$112)</f>
        <v>6.5659500290528749E-2</v>
      </c>
      <c r="H109" s="55"/>
      <c r="I109" s="56"/>
    </row>
    <row r="110" spans="1:9" x14ac:dyDescent="0.2">
      <c r="A110" s="115"/>
      <c r="B110" s="49">
        <v>29</v>
      </c>
      <c r="C110" s="51"/>
      <c r="D110" s="51" t="s">
        <v>10</v>
      </c>
      <c r="E110" s="58" t="s">
        <v>64</v>
      </c>
      <c r="F110" s="51">
        <v>0.13</v>
      </c>
      <c r="G110" s="57">
        <f>F110/SUM($F$108:$F$112)</f>
        <v>7.5537478210342826E-3</v>
      </c>
      <c r="H110" s="55"/>
      <c r="I110" s="56"/>
    </row>
    <row r="111" spans="1:9" x14ac:dyDescent="0.2">
      <c r="A111" s="115"/>
      <c r="B111" s="49">
        <v>30</v>
      </c>
      <c r="C111" s="51"/>
      <c r="D111" s="51" t="s">
        <v>10</v>
      </c>
      <c r="E111" s="51" t="s">
        <v>59</v>
      </c>
      <c r="F111" s="51">
        <v>0.09</v>
      </c>
      <c r="G111" s="57">
        <f>F111/SUM($F$108:$F$112)</f>
        <v>5.2295177222545031E-3</v>
      </c>
      <c r="H111" s="55"/>
      <c r="I111" s="56"/>
    </row>
    <row r="112" spans="1:9" ht="16" thickBot="1" x14ac:dyDescent="0.25">
      <c r="A112" s="115"/>
      <c r="B112" s="49">
        <v>31</v>
      </c>
      <c r="C112" s="59"/>
      <c r="D112" s="59" t="s">
        <v>10</v>
      </c>
      <c r="E112" s="59" t="s">
        <v>109</v>
      </c>
      <c r="F112" s="59">
        <v>13.12</v>
      </c>
      <c r="G112" s="60">
        <f>F112/SUM($F$108:$F$112)</f>
        <v>0.76234747239976752</v>
      </c>
      <c r="H112" s="61" t="s">
        <v>107</v>
      </c>
      <c r="I112" s="62" t="s">
        <v>108</v>
      </c>
    </row>
    <row r="113" spans="1:9" ht="16" thickTop="1" x14ac:dyDescent="0.2">
      <c r="A113" s="115"/>
      <c r="B113" s="49">
        <v>32</v>
      </c>
      <c r="C113" s="50">
        <v>46031</v>
      </c>
      <c r="D113" s="51" t="s">
        <v>10</v>
      </c>
      <c r="E113" s="51" t="s">
        <v>110</v>
      </c>
      <c r="F113" s="51">
        <v>230</v>
      </c>
      <c r="G113" s="52">
        <f>F113/SUM($F$113:$F$114)</f>
        <v>0.99584343609282988</v>
      </c>
      <c r="H113" s="53" t="s">
        <v>111</v>
      </c>
      <c r="I113" s="54" t="s">
        <v>112</v>
      </c>
    </row>
    <row r="114" spans="1:9" ht="16" thickBot="1" x14ac:dyDescent="0.25">
      <c r="A114" s="115"/>
      <c r="B114" s="49">
        <v>33</v>
      </c>
      <c r="C114" s="59"/>
      <c r="D114" s="59" t="s">
        <v>10</v>
      </c>
      <c r="E114" s="59" t="s">
        <v>71</v>
      </c>
      <c r="F114" s="59">
        <v>0.96</v>
      </c>
      <c r="G114" s="60">
        <f>F114/SUM($F$113:$F$114)</f>
        <v>4.1565639071700728E-3</v>
      </c>
      <c r="H114" s="61" t="s">
        <v>111</v>
      </c>
      <c r="I114" s="62" t="s">
        <v>112</v>
      </c>
    </row>
    <row r="115" spans="1:9" ht="16" thickTop="1" x14ac:dyDescent="0.2">
      <c r="A115" s="115"/>
      <c r="B115" s="49">
        <v>34</v>
      </c>
      <c r="C115" s="50">
        <v>46035</v>
      </c>
      <c r="D115" s="51" t="s">
        <v>10</v>
      </c>
      <c r="E115" s="51" t="s">
        <v>109</v>
      </c>
      <c r="F115" s="51">
        <v>29.9</v>
      </c>
      <c r="G115" s="57">
        <f>F115/SUM($F$115:$F$118)</f>
        <v>0.85665988596968756</v>
      </c>
      <c r="H115" s="53" t="s">
        <v>113</v>
      </c>
      <c r="I115" s="54" t="s">
        <v>114</v>
      </c>
    </row>
    <row r="116" spans="1:9" x14ac:dyDescent="0.2">
      <c r="A116" s="115"/>
      <c r="B116" s="49">
        <v>35</v>
      </c>
      <c r="C116" s="51"/>
      <c r="D116" s="51" t="s">
        <v>10</v>
      </c>
      <c r="E116" s="51" t="s">
        <v>60</v>
      </c>
      <c r="F116" s="51">
        <v>4.1500000000000004</v>
      </c>
      <c r="G116" s="57">
        <f>F116/SUM($F$115:$F$118)</f>
        <v>0.11890095407271585</v>
      </c>
      <c r="H116" s="55"/>
      <c r="I116" s="56"/>
    </row>
    <row r="117" spans="1:9" x14ac:dyDescent="0.2">
      <c r="A117" s="115"/>
      <c r="B117" s="49">
        <v>36</v>
      </c>
      <c r="C117" s="51"/>
      <c r="D117" s="51" t="s">
        <v>10</v>
      </c>
      <c r="E117" s="51" t="s">
        <v>115</v>
      </c>
      <c r="F117" s="51">
        <v>0.81499999999999995</v>
      </c>
      <c r="G117" s="57">
        <f>F117/SUM($F$115:$F$118)</f>
        <v>2.3350428329942989E-2</v>
      </c>
      <c r="H117" s="55"/>
      <c r="I117" s="56"/>
    </row>
    <row r="118" spans="1:9" ht="16" thickBot="1" x14ac:dyDescent="0.25">
      <c r="A118" s="115"/>
      <c r="B118" s="49">
        <v>37</v>
      </c>
      <c r="C118" s="59"/>
      <c r="D118" s="59" t="s">
        <v>10</v>
      </c>
      <c r="E118" s="59" t="s">
        <v>59</v>
      </c>
      <c r="F118" s="59">
        <v>3.7999999999999999E-2</v>
      </c>
      <c r="G118" s="60">
        <f>F118/SUM($F$115:$F$118)</f>
        <v>1.0887316276537837E-3</v>
      </c>
      <c r="H118" s="61" t="s">
        <v>113</v>
      </c>
      <c r="I118" s="62" t="s">
        <v>114</v>
      </c>
    </row>
    <row r="119" spans="1:9" ht="16" thickTop="1" x14ac:dyDescent="0.2">
      <c r="A119" s="115"/>
      <c r="B119" s="15">
        <v>38</v>
      </c>
      <c r="C119" s="30">
        <v>46035</v>
      </c>
      <c r="D119" t="s">
        <v>10</v>
      </c>
      <c r="E119" t="s">
        <v>116</v>
      </c>
      <c r="F119" s="31">
        <v>11.52</v>
      </c>
      <c r="G119" s="32">
        <f t="shared" ref="G119:G126" si="5">F119/SUM($F$119:$F$126)</f>
        <v>0.55523423944476569</v>
      </c>
      <c r="H119" s="2" t="s">
        <v>117</v>
      </c>
      <c r="I119" s="33" t="s">
        <v>118</v>
      </c>
    </row>
    <row r="120" spans="1:9" x14ac:dyDescent="0.2">
      <c r="A120" s="115"/>
      <c r="B120" s="15">
        <v>39</v>
      </c>
      <c r="D120" t="s">
        <v>10</v>
      </c>
      <c r="E120" t="s">
        <v>119</v>
      </c>
      <c r="F120" s="31">
        <v>4.8000000000000001E-2</v>
      </c>
      <c r="G120" s="32">
        <f t="shared" si="5"/>
        <v>2.3134759976865238E-3</v>
      </c>
      <c r="H120" s="18"/>
      <c r="I120" s="19"/>
    </row>
    <row r="121" spans="1:9" ht="16" thickBot="1" x14ac:dyDescent="0.25">
      <c r="A121" s="116"/>
      <c r="B121" s="38">
        <v>40</v>
      </c>
      <c r="C121" s="40"/>
      <c r="D121" s="40" t="s">
        <v>10</v>
      </c>
      <c r="E121" s="40" t="s">
        <v>76</v>
      </c>
      <c r="F121" s="67">
        <v>0.12</v>
      </c>
      <c r="G121" s="41">
        <f t="shared" si="5"/>
        <v>5.7836899942163098E-3</v>
      </c>
      <c r="H121" s="68"/>
      <c r="I121" s="69"/>
    </row>
    <row r="122" spans="1:9" x14ac:dyDescent="0.2">
      <c r="A122" s="114" t="s">
        <v>120</v>
      </c>
      <c r="B122" s="8">
        <v>1</v>
      </c>
      <c r="C122" s="70">
        <v>46035</v>
      </c>
      <c r="D122" s="16" t="s">
        <v>10</v>
      </c>
      <c r="E122" s="16" t="s">
        <v>121</v>
      </c>
      <c r="F122" s="17">
        <v>3</v>
      </c>
      <c r="G122" s="32">
        <f t="shared" si="5"/>
        <v>0.14459224985540775</v>
      </c>
      <c r="H122" s="18" t="s">
        <v>117</v>
      </c>
      <c r="I122" s="19" t="s">
        <v>118</v>
      </c>
    </row>
    <row r="123" spans="1:9" x14ac:dyDescent="0.2">
      <c r="A123" s="115"/>
      <c r="B123" s="15">
        <v>2</v>
      </c>
      <c r="D123" t="s">
        <v>10</v>
      </c>
      <c r="E123" t="s">
        <v>90</v>
      </c>
      <c r="F123" s="31">
        <v>3.78</v>
      </c>
      <c r="G123" s="32">
        <f t="shared" si="5"/>
        <v>0.18218623481781374</v>
      </c>
      <c r="H123" s="18"/>
      <c r="I123" s="19"/>
    </row>
    <row r="124" spans="1:9" x14ac:dyDescent="0.2">
      <c r="A124" s="115"/>
      <c r="B124" s="15">
        <v>3</v>
      </c>
      <c r="D124" t="s">
        <v>10</v>
      </c>
      <c r="E124" t="s">
        <v>15</v>
      </c>
      <c r="F124" s="31">
        <v>1.86</v>
      </c>
      <c r="G124" s="12">
        <f t="shared" si="5"/>
        <v>8.9647194910352807E-2</v>
      </c>
      <c r="H124" s="18"/>
      <c r="I124" s="19"/>
    </row>
    <row r="125" spans="1:9" x14ac:dyDescent="0.2">
      <c r="A125" s="115"/>
      <c r="B125" s="15">
        <v>4</v>
      </c>
      <c r="D125" t="s">
        <v>10</v>
      </c>
      <c r="E125" t="s">
        <v>11</v>
      </c>
      <c r="F125" s="31">
        <v>0.19</v>
      </c>
      <c r="G125" s="32">
        <f t="shared" si="5"/>
        <v>9.1575091575091579E-3</v>
      </c>
      <c r="H125" s="18"/>
      <c r="I125" s="19"/>
    </row>
    <row r="126" spans="1:9" x14ac:dyDescent="0.2">
      <c r="A126" s="115"/>
      <c r="B126" s="15">
        <v>5</v>
      </c>
      <c r="D126" t="s">
        <v>10</v>
      </c>
      <c r="E126" t="s">
        <v>23</v>
      </c>
      <c r="F126" s="31">
        <v>0.23</v>
      </c>
      <c r="G126" s="32">
        <f t="shared" si="5"/>
        <v>1.1085405822247927E-2</v>
      </c>
      <c r="H126" s="18"/>
      <c r="I126" s="19"/>
    </row>
    <row r="127" spans="1:9" ht="16" thickBot="1" x14ac:dyDescent="0.25">
      <c r="A127" s="115"/>
      <c r="B127" s="15">
        <v>6</v>
      </c>
      <c r="C127" s="71"/>
      <c r="D127" s="71" t="s">
        <v>17</v>
      </c>
      <c r="E127" s="71" t="s">
        <v>46</v>
      </c>
      <c r="F127" s="71">
        <v>4</v>
      </c>
      <c r="G127" s="72" t="s">
        <v>19</v>
      </c>
      <c r="H127" s="73" t="s">
        <v>117</v>
      </c>
      <c r="I127" s="74" t="s">
        <v>118</v>
      </c>
    </row>
    <row r="128" spans="1:9" ht="16" thickTop="1" x14ac:dyDescent="0.2">
      <c r="A128" s="115"/>
      <c r="B128" s="49">
        <v>7</v>
      </c>
      <c r="C128" s="50">
        <v>46035</v>
      </c>
      <c r="D128" s="51" t="s">
        <v>10</v>
      </c>
      <c r="E128" s="51" t="s">
        <v>122</v>
      </c>
      <c r="F128" s="51">
        <v>112</v>
      </c>
      <c r="G128" s="57">
        <f>F128/SUM($F$128:$F$130)</f>
        <v>0.37450678793553133</v>
      </c>
      <c r="H128" s="75" t="s">
        <v>123</v>
      </c>
      <c r="I128" s="54" t="s">
        <v>124</v>
      </c>
    </row>
    <row r="129" spans="1:9" x14ac:dyDescent="0.2">
      <c r="A129" s="115"/>
      <c r="B129" s="49">
        <v>8</v>
      </c>
      <c r="C129" s="51"/>
      <c r="D129" s="51" t="s">
        <v>10</v>
      </c>
      <c r="E129" s="51" t="s">
        <v>125</v>
      </c>
      <c r="F129" s="51">
        <v>154.56</v>
      </c>
      <c r="G129" s="57">
        <f>F129/SUM($F$128:$F$130)</f>
        <v>0.51681936735103329</v>
      </c>
      <c r="H129" s="76"/>
      <c r="I129" s="56"/>
    </row>
    <row r="130" spans="1:9" x14ac:dyDescent="0.2">
      <c r="A130" s="115"/>
      <c r="B130" s="49">
        <v>9</v>
      </c>
      <c r="C130" s="58"/>
      <c r="D130" s="58" t="s">
        <v>10</v>
      </c>
      <c r="E130" s="58" t="s">
        <v>126</v>
      </c>
      <c r="F130" s="58">
        <v>32.5</v>
      </c>
      <c r="G130" s="57">
        <f>F130/SUM($F$128:$F$130)</f>
        <v>0.10867384471343543</v>
      </c>
      <c r="H130" s="76"/>
      <c r="I130" s="56"/>
    </row>
    <row r="131" spans="1:9" ht="16" thickBot="1" x14ac:dyDescent="0.25">
      <c r="A131" s="115"/>
      <c r="B131" s="49">
        <v>10</v>
      </c>
      <c r="C131" s="59"/>
      <c r="D131" s="59" t="s">
        <v>17</v>
      </c>
      <c r="E131" s="59" t="s">
        <v>45</v>
      </c>
      <c r="F131" s="59">
        <v>7</v>
      </c>
      <c r="G131" s="60" t="s">
        <v>19</v>
      </c>
      <c r="H131" s="77" t="s">
        <v>127</v>
      </c>
      <c r="I131" s="78" t="s">
        <v>124</v>
      </c>
    </row>
    <row r="132" spans="1:9" ht="16" thickTop="1" x14ac:dyDescent="0.2">
      <c r="A132" s="115"/>
      <c r="B132" s="15">
        <v>11</v>
      </c>
      <c r="C132" s="30">
        <v>46035</v>
      </c>
      <c r="D132" t="s">
        <v>10</v>
      </c>
      <c r="E132" t="s">
        <v>128</v>
      </c>
      <c r="F132" s="31">
        <v>72</v>
      </c>
      <c r="G132" s="32">
        <f t="shared" ref="G132:G142" si="6">F132/SUM($F$132:$F$142)</f>
        <v>0.32276863764737529</v>
      </c>
      <c r="H132" s="2" t="s">
        <v>129</v>
      </c>
      <c r="I132" s="33" t="s">
        <v>130</v>
      </c>
    </row>
    <row r="133" spans="1:9" x14ac:dyDescent="0.2">
      <c r="A133" s="115"/>
      <c r="B133" s="15">
        <v>12</v>
      </c>
      <c r="D133" t="s">
        <v>10</v>
      </c>
      <c r="E133" t="s">
        <v>119</v>
      </c>
      <c r="F133" s="31">
        <v>0.12</v>
      </c>
      <c r="G133" s="32">
        <f t="shared" si="6"/>
        <v>5.3794772941229206E-4</v>
      </c>
      <c r="H133" s="18"/>
      <c r="I133" s="19"/>
    </row>
    <row r="134" spans="1:9" x14ac:dyDescent="0.2">
      <c r="A134" s="115"/>
      <c r="B134" s="15">
        <v>13</v>
      </c>
      <c r="D134" t="s">
        <v>10</v>
      </c>
      <c r="E134" t="s">
        <v>76</v>
      </c>
      <c r="F134" s="31">
        <v>0.6</v>
      </c>
      <c r="G134" s="32">
        <f t="shared" si="6"/>
        <v>2.6897386470614605E-3</v>
      </c>
      <c r="H134" s="18"/>
      <c r="I134" s="19"/>
    </row>
    <row r="135" spans="1:9" x14ac:dyDescent="0.2">
      <c r="A135" s="115"/>
      <c r="B135" s="15">
        <v>14</v>
      </c>
      <c r="D135" t="s">
        <v>10</v>
      </c>
      <c r="E135" t="s">
        <v>87</v>
      </c>
      <c r="F135" s="31">
        <v>1.8</v>
      </c>
      <c r="G135" s="32">
        <f t="shared" si="6"/>
        <v>8.0692159411843815E-3</v>
      </c>
      <c r="H135" s="18"/>
      <c r="I135" s="19"/>
    </row>
    <row r="136" spans="1:9" x14ac:dyDescent="0.2">
      <c r="A136" s="115"/>
      <c r="B136" s="15">
        <v>15</v>
      </c>
      <c r="D136" t="s">
        <v>10</v>
      </c>
      <c r="E136" t="s">
        <v>42</v>
      </c>
      <c r="F136" s="31">
        <v>1.25</v>
      </c>
      <c r="G136" s="32">
        <f t="shared" si="6"/>
        <v>5.6036221813780427E-3</v>
      </c>
      <c r="H136" s="18"/>
      <c r="I136" s="19"/>
    </row>
    <row r="137" spans="1:9" x14ac:dyDescent="0.2">
      <c r="A137" s="115"/>
      <c r="B137" s="15">
        <v>16</v>
      </c>
      <c r="D137" t="s">
        <v>10</v>
      </c>
      <c r="E137" t="s">
        <v>90</v>
      </c>
      <c r="F137" s="31">
        <v>120</v>
      </c>
      <c r="G137" s="32">
        <f t="shared" si="6"/>
        <v>0.53794772941229207</v>
      </c>
      <c r="H137" s="18"/>
      <c r="I137" s="19"/>
    </row>
    <row r="138" spans="1:9" x14ac:dyDescent="0.2">
      <c r="A138" s="115"/>
      <c r="B138" s="15">
        <v>17</v>
      </c>
      <c r="D138" t="s">
        <v>10</v>
      </c>
      <c r="E138" t="s">
        <v>11</v>
      </c>
      <c r="F138" s="31">
        <v>5.55</v>
      </c>
      <c r="G138" s="12">
        <f t="shared" si="6"/>
        <v>2.4880082485318509E-2</v>
      </c>
      <c r="H138" s="18"/>
      <c r="I138" s="19"/>
    </row>
    <row r="139" spans="1:9" x14ac:dyDescent="0.2">
      <c r="A139" s="115"/>
      <c r="B139" s="15">
        <v>18</v>
      </c>
      <c r="D139" t="s">
        <v>10</v>
      </c>
      <c r="E139" t="s">
        <v>15</v>
      </c>
      <c r="F139" s="31">
        <v>18.399999999999999</v>
      </c>
      <c r="G139" s="32">
        <f t="shared" si="6"/>
        <v>8.2485318509884789E-2</v>
      </c>
      <c r="H139" s="18"/>
      <c r="I139" s="19"/>
    </row>
    <row r="140" spans="1:9" x14ac:dyDescent="0.2">
      <c r="A140" s="115"/>
      <c r="B140" s="15">
        <v>19</v>
      </c>
      <c r="D140" t="s">
        <v>10</v>
      </c>
      <c r="E140" t="s">
        <v>23</v>
      </c>
      <c r="F140" s="31">
        <v>2.2000000000000002</v>
      </c>
      <c r="G140" s="32">
        <f t="shared" si="6"/>
        <v>9.862375039225357E-3</v>
      </c>
      <c r="H140" s="18"/>
      <c r="I140" s="19"/>
    </row>
    <row r="141" spans="1:9" x14ac:dyDescent="0.2">
      <c r="A141" s="115"/>
      <c r="B141" s="15">
        <v>20</v>
      </c>
      <c r="D141" t="s">
        <v>10</v>
      </c>
      <c r="E141" t="s">
        <v>131</v>
      </c>
      <c r="F141" s="31">
        <v>0.65</v>
      </c>
      <c r="G141" s="32">
        <f t="shared" si="6"/>
        <v>2.9138835343165822E-3</v>
      </c>
      <c r="H141" s="18"/>
      <c r="I141" s="19"/>
    </row>
    <row r="142" spans="1:9" x14ac:dyDescent="0.2">
      <c r="A142" s="115"/>
      <c r="B142" s="15">
        <v>21</v>
      </c>
      <c r="D142" t="s">
        <v>10</v>
      </c>
      <c r="E142" t="s">
        <v>92</v>
      </c>
      <c r="F142" s="31">
        <v>0.5</v>
      </c>
      <c r="G142" s="32">
        <f t="shared" si="6"/>
        <v>2.2414488725512171E-3</v>
      </c>
      <c r="H142" s="18"/>
      <c r="I142" s="19"/>
    </row>
    <row r="143" spans="1:9" ht="16" thickBot="1" x14ac:dyDescent="0.25">
      <c r="A143" s="115"/>
      <c r="B143" s="15">
        <v>22</v>
      </c>
      <c r="C143" s="44"/>
      <c r="D143" s="44" t="s">
        <v>17</v>
      </c>
      <c r="E143" s="44" t="s">
        <v>45</v>
      </c>
      <c r="F143" s="45">
        <v>5</v>
      </c>
      <c r="G143" s="20" t="s">
        <v>19</v>
      </c>
      <c r="H143" s="28" t="s">
        <v>129</v>
      </c>
      <c r="I143" s="29" t="s">
        <v>130</v>
      </c>
    </row>
    <row r="144" spans="1:9" ht="16" thickTop="1" x14ac:dyDescent="0.2">
      <c r="A144" s="115"/>
      <c r="B144" s="15">
        <v>23</v>
      </c>
      <c r="C144" t="s">
        <v>44</v>
      </c>
      <c r="D144" t="s">
        <v>44</v>
      </c>
      <c r="E144" t="s">
        <v>44</v>
      </c>
      <c r="F144" t="s">
        <v>44</v>
      </c>
      <c r="G144" s="32" t="s">
        <v>44</v>
      </c>
      <c r="H144" t="s">
        <v>44</v>
      </c>
      <c r="I144" s="37" t="s">
        <v>44</v>
      </c>
    </row>
    <row r="145" spans="1:9" x14ac:dyDescent="0.2">
      <c r="A145" s="115"/>
      <c r="B145" s="15">
        <v>24</v>
      </c>
      <c r="C145" t="s">
        <v>44</v>
      </c>
      <c r="D145" t="s">
        <v>44</v>
      </c>
      <c r="E145" t="s">
        <v>44</v>
      </c>
      <c r="F145" t="s">
        <v>44</v>
      </c>
      <c r="G145" s="32" t="s">
        <v>44</v>
      </c>
      <c r="H145" t="s">
        <v>44</v>
      </c>
      <c r="I145" s="37" t="s">
        <v>44</v>
      </c>
    </row>
    <row r="146" spans="1:9" x14ac:dyDescent="0.2">
      <c r="A146" s="115"/>
      <c r="B146" s="15">
        <v>25</v>
      </c>
      <c r="C146" t="s">
        <v>44</v>
      </c>
      <c r="D146" t="s">
        <v>44</v>
      </c>
      <c r="E146" t="s">
        <v>44</v>
      </c>
      <c r="F146" t="s">
        <v>44</v>
      </c>
      <c r="G146" s="12" t="s">
        <v>44</v>
      </c>
      <c r="H146" t="s">
        <v>44</v>
      </c>
      <c r="I146" s="37" t="s">
        <v>44</v>
      </c>
    </row>
    <row r="147" spans="1:9" x14ac:dyDescent="0.2">
      <c r="A147" s="115"/>
      <c r="B147" s="15">
        <v>26</v>
      </c>
      <c r="C147" t="s">
        <v>44</v>
      </c>
      <c r="D147" t="s">
        <v>44</v>
      </c>
      <c r="E147" t="s">
        <v>44</v>
      </c>
      <c r="F147" t="s">
        <v>44</v>
      </c>
      <c r="G147" s="32" t="s">
        <v>44</v>
      </c>
      <c r="H147" t="s">
        <v>44</v>
      </c>
      <c r="I147" s="37" t="s">
        <v>44</v>
      </c>
    </row>
    <row r="148" spans="1:9" x14ac:dyDescent="0.2">
      <c r="A148" s="115"/>
      <c r="B148" s="15">
        <v>27</v>
      </c>
      <c r="C148" t="s">
        <v>44</v>
      </c>
      <c r="D148" t="s">
        <v>44</v>
      </c>
      <c r="E148" t="s">
        <v>44</v>
      </c>
      <c r="F148" t="s">
        <v>44</v>
      </c>
      <c r="G148" s="32" t="s">
        <v>44</v>
      </c>
      <c r="H148" t="s">
        <v>44</v>
      </c>
      <c r="I148" s="37" t="s">
        <v>44</v>
      </c>
    </row>
    <row r="149" spans="1:9" x14ac:dyDescent="0.2">
      <c r="A149" s="115"/>
      <c r="B149" s="15">
        <v>28</v>
      </c>
      <c r="C149" t="s">
        <v>44</v>
      </c>
      <c r="D149" t="s">
        <v>44</v>
      </c>
      <c r="E149" t="s">
        <v>44</v>
      </c>
      <c r="F149" t="s">
        <v>44</v>
      </c>
      <c r="G149" s="12" t="s">
        <v>44</v>
      </c>
      <c r="H149" t="s">
        <v>44</v>
      </c>
      <c r="I149" s="37" t="s">
        <v>44</v>
      </c>
    </row>
    <row r="150" spans="1:9" x14ac:dyDescent="0.2">
      <c r="A150" s="115"/>
      <c r="B150" s="15">
        <v>29</v>
      </c>
      <c r="C150" t="s">
        <v>44</v>
      </c>
      <c r="D150" t="s">
        <v>44</v>
      </c>
      <c r="E150" t="s">
        <v>44</v>
      </c>
      <c r="F150" t="s">
        <v>44</v>
      </c>
      <c r="G150" s="32" t="s">
        <v>44</v>
      </c>
      <c r="H150" t="s">
        <v>44</v>
      </c>
      <c r="I150" s="37" t="s">
        <v>44</v>
      </c>
    </row>
    <row r="151" spans="1:9" x14ac:dyDescent="0.2">
      <c r="A151" s="115"/>
      <c r="B151" s="15">
        <v>30</v>
      </c>
      <c r="C151" t="s">
        <v>44</v>
      </c>
      <c r="D151" t="s">
        <v>44</v>
      </c>
      <c r="E151" t="s">
        <v>44</v>
      </c>
      <c r="F151" t="s">
        <v>44</v>
      </c>
      <c r="G151" s="12" t="s">
        <v>44</v>
      </c>
      <c r="H151" t="s">
        <v>44</v>
      </c>
      <c r="I151" s="37" t="s">
        <v>44</v>
      </c>
    </row>
    <row r="152" spans="1:9" x14ac:dyDescent="0.2">
      <c r="A152" s="115"/>
      <c r="B152" s="15">
        <v>31</v>
      </c>
      <c r="C152" t="s">
        <v>44</v>
      </c>
      <c r="D152" t="s">
        <v>44</v>
      </c>
      <c r="E152" t="s">
        <v>44</v>
      </c>
      <c r="F152" t="s">
        <v>44</v>
      </c>
      <c r="G152" s="32" t="s">
        <v>44</v>
      </c>
      <c r="H152" t="s">
        <v>44</v>
      </c>
      <c r="I152" s="37" t="s">
        <v>44</v>
      </c>
    </row>
    <row r="153" spans="1:9" x14ac:dyDescent="0.2">
      <c r="A153" s="115"/>
      <c r="B153" s="15">
        <v>32</v>
      </c>
      <c r="C153" t="s">
        <v>44</v>
      </c>
      <c r="D153" t="s">
        <v>44</v>
      </c>
      <c r="E153" t="s">
        <v>44</v>
      </c>
      <c r="F153" t="s">
        <v>44</v>
      </c>
      <c r="G153" s="12" t="s">
        <v>44</v>
      </c>
      <c r="H153" t="s">
        <v>44</v>
      </c>
      <c r="I153" s="37" t="s">
        <v>44</v>
      </c>
    </row>
    <row r="154" spans="1:9" x14ac:dyDescent="0.2">
      <c r="A154" s="115"/>
      <c r="B154" s="15">
        <v>33</v>
      </c>
      <c r="C154" t="s">
        <v>44</v>
      </c>
      <c r="D154" t="s">
        <v>44</v>
      </c>
      <c r="E154" t="s">
        <v>44</v>
      </c>
      <c r="F154" t="s">
        <v>44</v>
      </c>
      <c r="G154" s="32" t="s">
        <v>44</v>
      </c>
      <c r="H154" t="s">
        <v>44</v>
      </c>
      <c r="I154" s="37" t="s">
        <v>44</v>
      </c>
    </row>
    <row r="155" spans="1:9" x14ac:dyDescent="0.2">
      <c r="A155" s="115"/>
      <c r="B155" s="15">
        <v>34</v>
      </c>
      <c r="C155" t="s">
        <v>44</v>
      </c>
      <c r="D155" t="s">
        <v>44</v>
      </c>
      <c r="E155" t="s">
        <v>44</v>
      </c>
      <c r="F155" t="s">
        <v>44</v>
      </c>
      <c r="G155" s="32" t="s">
        <v>44</v>
      </c>
      <c r="H155" t="s">
        <v>44</v>
      </c>
      <c r="I155" s="37" t="s">
        <v>44</v>
      </c>
    </row>
    <row r="156" spans="1:9" x14ac:dyDescent="0.2">
      <c r="A156" s="115"/>
      <c r="B156" s="15">
        <v>35</v>
      </c>
      <c r="C156" t="s">
        <v>44</v>
      </c>
      <c r="D156" t="s">
        <v>44</v>
      </c>
      <c r="E156" t="s">
        <v>44</v>
      </c>
      <c r="F156" t="s">
        <v>44</v>
      </c>
      <c r="G156" s="12" t="s">
        <v>44</v>
      </c>
      <c r="H156" t="s">
        <v>44</v>
      </c>
      <c r="I156" s="37" t="s">
        <v>44</v>
      </c>
    </row>
    <row r="157" spans="1:9" x14ac:dyDescent="0.2">
      <c r="A157" s="115"/>
      <c r="B157" s="15">
        <v>36</v>
      </c>
      <c r="C157" t="s">
        <v>44</v>
      </c>
      <c r="D157" t="s">
        <v>44</v>
      </c>
      <c r="E157" t="s">
        <v>44</v>
      </c>
      <c r="F157" t="s">
        <v>44</v>
      </c>
      <c r="G157" s="32" t="s">
        <v>44</v>
      </c>
      <c r="H157" t="s">
        <v>44</v>
      </c>
      <c r="I157" s="37" t="s">
        <v>44</v>
      </c>
    </row>
    <row r="158" spans="1:9" x14ac:dyDescent="0.2">
      <c r="A158" s="115"/>
      <c r="B158" s="15">
        <v>37</v>
      </c>
      <c r="C158" t="s">
        <v>44</v>
      </c>
      <c r="D158" t="s">
        <v>44</v>
      </c>
      <c r="E158" t="s">
        <v>44</v>
      </c>
      <c r="F158" t="s">
        <v>44</v>
      </c>
      <c r="G158" s="12" t="s">
        <v>44</v>
      </c>
      <c r="H158" t="s">
        <v>44</v>
      </c>
      <c r="I158" s="37" t="s">
        <v>44</v>
      </c>
    </row>
    <row r="159" spans="1:9" x14ac:dyDescent="0.2">
      <c r="A159" s="115"/>
      <c r="B159" s="15">
        <v>38</v>
      </c>
      <c r="C159" t="s">
        <v>44</v>
      </c>
      <c r="D159" t="s">
        <v>44</v>
      </c>
      <c r="E159" t="s">
        <v>44</v>
      </c>
      <c r="F159" t="s">
        <v>44</v>
      </c>
      <c r="G159" s="32" t="s">
        <v>44</v>
      </c>
      <c r="H159" t="s">
        <v>44</v>
      </c>
      <c r="I159" s="37" t="s">
        <v>44</v>
      </c>
    </row>
    <row r="160" spans="1:9" x14ac:dyDescent="0.2">
      <c r="A160" s="115"/>
      <c r="B160" s="15">
        <v>39</v>
      </c>
      <c r="C160" t="s">
        <v>44</v>
      </c>
      <c r="D160" t="s">
        <v>44</v>
      </c>
      <c r="E160" t="s">
        <v>44</v>
      </c>
      <c r="F160" t="s">
        <v>44</v>
      </c>
      <c r="G160" s="32" t="s">
        <v>44</v>
      </c>
      <c r="H160" t="s">
        <v>44</v>
      </c>
      <c r="I160" s="37" t="s">
        <v>44</v>
      </c>
    </row>
    <row r="161" spans="1:9" ht="16" thickBot="1" x14ac:dyDescent="0.25">
      <c r="A161" s="116"/>
      <c r="B161" s="38">
        <v>40</v>
      </c>
      <c r="C161" s="40" t="s">
        <v>44</v>
      </c>
      <c r="D161" s="40" t="s">
        <v>44</v>
      </c>
      <c r="E161" s="40" t="s">
        <v>44</v>
      </c>
      <c r="F161" s="40" t="s">
        <v>44</v>
      </c>
      <c r="G161" s="41" t="s">
        <v>44</v>
      </c>
      <c r="H161" s="40" t="s">
        <v>44</v>
      </c>
      <c r="I161" s="43" t="s">
        <v>44</v>
      </c>
    </row>
    <row r="162" spans="1:9" x14ac:dyDescent="0.2">
      <c r="A162" s="114" t="s">
        <v>132</v>
      </c>
      <c r="B162" s="8">
        <v>1</v>
      </c>
      <c r="C162" s="30">
        <v>46041</v>
      </c>
      <c r="D162" t="s">
        <v>10</v>
      </c>
      <c r="E162" t="s">
        <v>84</v>
      </c>
      <c r="F162" s="31">
        <v>43</v>
      </c>
      <c r="G162" s="32">
        <f t="shared" ref="G162:G167" si="7">F162/SUM($F$162:$F$167)</f>
        <v>0.47751249305941151</v>
      </c>
      <c r="H162" s="2" t="s">
        <v>133</v>
      </c>
      <c r="I162" s="33" t="s">
        <v>130</v>
      </c>
    </row>
    <row r="163" spans="1:9" x14ac:dyDescent="0.2">
      <c r="A163" s="115"/>
      <c r="B163" s="15">
        <v>2</v>
      </c>
      <c r="D163" t="s">
        <v>10</v>
      </c>
      <c r="E163" t="s">
        <v>37</v>
      </c>
      <c r="F163" s="31">
        <v>1.3</v>
      </c>
      <c r="G163" s="12">
        <f t="shared" si="7"/>
        <v>1.4436424208772907E-2</v>
      </c>
      <c r="H163" s="18"/>
      <c r="I163" s="19"/>
    </row>
    <row r="164" spans="1:9" x14ac:dyDescent="0.2">
      <c r="A164" s="115"/>
      <c r="B164" s="15">
        <v>3</v>
      </c>
      <c r="D164" t="s">
        <v>10</v>
      </c>
      <c r="E164" t="s">
        <v>134</v>
      </c>
      <c r="F164" s="31">
        <v>9.3000000000000007</v>
      </c>
      <c r="G164" s="32">
        <f t="shared" si="7"/>
        <v>0.10327595780122158</v>
      </c>
      <c r="H164" s="18"/>
      <c r="I164" s="19"/>
    </row>
    <row r="165" spans="1:9" x14ac:dyDescent="0.2">
      <c r="A165" s="115"/>
      <c r="B165" s="15">
        <v>4</v>
      </c>
      <c r="D165" t="s">
        <v>10</v>
      </c>
      <c r="E165" t="s">
        <v>135</v>
      </c>
      <c r="F165" s="31">
        <v>9.3000000000000007</v>
      </c>
      <c r="G165" s="32">
        <f t="shared" si="7"/>
        <v>0.10327595780122158</v>
      </c>
      <c r="H165" s="18"/>
      <c r="I165" s="19"/>
    </row>
    <row r="166" spans="1:9" x14ac:dyDescent="0.2">
      <c r="A166" s="115"/>
      <c r="B166" s="15">
        <v>5</v>
      </c>
      <c r="D166" t="s">
        <v>10</v>
      </c>
      <c r="E166" t="s">
        <v>11</v>
      </c>
      <c r="F166" s="31">
        <v>16.649999999999999</v>
      </c>
      <c r="G166" s="32">
        <f t="shared" si="7"/>
        <v>0.18489727928928376</v>
      </c>
      <c r="H166" s="18"/>
      <c r="I166" s="19"/>
    </row>
    <row r="167" spans="1:9" ht="16" thickBot="1" x14ac:dyDescent="0.25">
      <c r="A167" s="115"/>
      <c r="B167" s="15">
        <v>6</v>
      </c>
      <c r="C167" s="44"/>
      <c r="D167" s="44" t="s">
        <v>10</v>
      </c>
      <c r="E167" s="44" t="s">
        <v>15</v>
      </c>
      <c r="F167" s="45">
        <v>10.5</v>
      </c>
      <c r="G167" s="20">
        <f t="shared" si="7"/>
        <v>0.11660188784008886</v>
      </c>
      <c r="H167" s="28" t="s">
        <v>133</v>
      </c>
      <c r="I167" s="29" t="s">
        <v>130</v>
      </c>
    </row>
    <row r="168" spans="1:9" ht="16" thickTop="1" x14ac:dyDescent="0.2">
      <c r="A168" s="115"/>
      <c r="B168" s="15">
        <v>7</v>
      </c>
      <c r="C168" s="30">
        <v>46041</v>
      </c>
      <c r="D168" t="s">
        <v>10</v>
      </c>
      <c r="E168" t="s">
        <v>136</v>
      </c>
      <c r="F168" s="31">
        <v>173.7</v>
      </c>
      <c r="G168" s="12">
        <f t="shared" ref="G168:G177" si="8">F168/SUM($F$168:$F$177)</f>
        <v>0.71042654222273127</v>
      </c>
      <c r="H168" s="2" t="s">
        <v>137</v>
      </c>
      <c r="I168" s="33" t="s">
        <v>138</v>
      </c>
    </row>
    <row r="169" spans="1:9" x14ac:dyDescent="0.2">
      <c r="A169" s="115"/>
      <c r="B169" s="15">
        <v>8</v>
      </c>
      <c r="D169" t="s">
        <v>10</v>
      </c>
      <c r="E169" t="s">
        <v>37</v>
      </c>
      <c r="F169" s="31">
        <v>0.625</v>
      </c>
      <c r="G169" s="32">
        <f t="shared" si="8"/>
        <v>2.5562267638987164E-3</v>
      </c>
      <c r="H169" s="18"/>
      <c r="I169" s="19"/>
    </row>
    <row r="170" spans="1:9" x14ac:dyDescent="0.2">
      <c r="A170" s="115"/>
      <c r="B170" s="15">
        <v>9</v>
      </c>
      <c r="D170" t="s">
        <v>10</v>
      </c>
      <c r="E170" t="s">
        <v>43</v>
      </c>
      <c r="F170" s="31">
        <v>0.625</v>
      </c>
      <c r="G170" s="32">
        <f t="shared" si="8"/>
        <v>2.5562267638987164E-3</v>
      </c>
      <c r="H170" s="18"/>
      <c r="I170" s="19"/>
    </row>
    <row r="171" spans="1:9" x14ac:dyDescent="0.2">
      <c r="A171" s="115"/>
      <c r="B171" s="15">
        <v>10</v>
      </c>
      <c r="D171" t="s">
        <v>10</v>
      </c>
      <c r="E171" t="s">
        <v>139</v>
      </c>
      <c r="F171" s="31">
        <v>25</v>
      </c>
      <c r="G171" s="32">
        <f t="shared" si="8"/>
        <v>0.10224907055594866</v>
      </c>
      <c r="H171" s="18"/>
      <c r="I171" s="19"/>
    </row>
    <row r="172" spans="1:9" x14ac:dyDescent="0.2">
      <c r="A172" s="115"/>
      <c r="B172" s="15">
        <v>11</v>
      </c>
      <c r="D172" t="s">
        <v>10</v>
      </c>
      <c r="E172" t="s">
        <v>15</v>
      </c>
      <c r="F172" s="31">
        <v>15</v>
      </c>
      <c r="G172" s="12">
        <f t="shared" si="8"/>
        <v>6.1349442333569197E-2</v>
      </c>
      <c r="H172" s="18"/>
      <c r="I172" s="19"/>
    </row>
    <row r="173" spans="1:9" x14ac:dyDescent="0.2">
      <c r="A173" s="115"/>
      <c r="B173" s="15">
        <v>12</v>
      </c>
      <c r="D173" t="s">
        <v>10</v>
      </c>
      <c r="E173" t="s">
        <v>11</v>
      </c>
      <c r="F173" s="31">
        <v>25.4</v>
      </c>
      <c r="G173" s="32">
        <f t="shared" si="8"/>
        <v>0.10388505568484382</v>
      </c>
      <c r="H173" s="18"/>
      <c r="I173" s="19"/>
    </row>
    <row r="174" spans="1:9" x14ac:dyDescent="0.2">
      <c r="A174" s="115"/>
      <c r="B174" s="15">
        <v>13</v>
      </c>
      <c r="D174" t="s">
        <v>10</v>
      </c>
      <c r="E174" t="s">
        <v>23</v>
      </c>
      <c r="F174" s="31">
        <v>3.5</v>
      </c>
      <c r="G174" s="32">
        <f t="shared" si="8"/>
        <v>1.4314869877832813E-2</v>
      </c>
      <c r="H174" s="18"/>
      <c r="I174" s="19"/>
    </row>
    <row r="175" spans="1:9" x14ac:dyDescent="0.2">
      <c r="A175" s="115"/>
      <c r="B175" s="15">
        <v>14</v>
      </c>
      <c r="D175" t="s">
        <v>10</v>
      </c>
      <c r="E175" t="s">
        <v>140</v>
      </c>
      <c r="F175" s="31">
        <v>0.313</v>
      </c>
      <c r="G175" s="32">
        <f t="shared" si="8"/>
        <v>1.2801583633604771E-3</v>
      </c>
      <c r="H175" s="18"/>
      <c r="I175" s="19"/>
    </row>
    <row r="176" spans="1:9" x14ac:dyDescent="0.2">
      <c r="A176" s="115"/>
      <c r="B176" s="15">
        <v>15</v>
      </c>
      <c r="D176" t="s">
        <v>10</v>
      </c>
      <c r="E176" t="s">
        <v>131</v>
      </c>
      <c r="F176" s="31">
        <v>0.313</v>
      </c>
      <c r="G176" s="32">
        <f t="shared" si="8"/>
        <v>1.2801583633604771E-3</v>
      </c>
      <c r="H176" s="18"/>
      <c r="I176" s="19"/>
    </row>
    <row r="177" spans="1:9" x14ac:dyDescent="0.2">
      <c r="A177" s="115"/>
      <c r="B177" s="15">
        <v>16</v>
      </c>
      <c r="D177" t="s">
        <v>10</v>
      </c>
      <c r="E177" t="s">
        <v>141</v>
      </c>
      <c r="F177" s="31">
        <v>2.5000000000000001E-2</v>
      </c>
      <c r="G177" s="12">
        <f t="shared" si="8"/>
        <v>1.0224907055594866E-4</v>
      </c>
      <c r="H177" s="18"/>
      <c r="I177" s="19"/>
    </row>
    <row r="178" spans="1:9" ht="16" thickBot="1" x14ac:dyDescent="0.25">
      <c r="A178" s="115"/>
      <c r="B178" s="15">
        <v>17</v>
      </c>
      <c r="C178" s="44"/>
      <c r="D178" s="44" t="s">
        <v>17</v>
      </c>
      <c r="E178" s="44" t="s">
        <v>46</v>
      </c>
      <c r="F178" s="45">
        <v>59</v>
      </c>
      <c r="G178" s="20" t="s">
        <v>19</v>
      </c>
      <c r="H178" s="28" t="s">
        <v>137</v>
      </c>
      <c r="I178" s="29" t="s">
        <v>138</v>
      </c>
    </row>
    <row r="179" spans="1:9" ht="16" thickTop="1" x14ac:dyDescent="0.2">
      <c r="A179" s="115"/>
      <c r="B179" s="15">
        <v>18</v>
      </c>
      <c r="C179" s="30">
        <v>46041</v>
      </c>
      <c r="D179" t="s">
        <v>10</v>
      </c>
      <c r="E179" t="s">
        <v>136</v>
      </c>
      <c r="F179" s="31">
        <v>96.2</v>
      </c>
      <c r="G179" s="12">
        <f t="shared" ref="G179:G192" si="9">F179/SUM($F$179:$F$192)</f>
        <v>0.48440780893586372</v>
      </c>
      <c r="H179" s="2" t="s">
        <v>142</v>
      </c>
      <c r="I179" s="33" t="s">
        <v>143</v>
      </c>
    </row>
    <row r="180" spans="1:9" x14ac:dyDescent="0.2">
      <c r="A180" s="115"/>
      <c r="B180" s="15">
        <v>19</v>
      </c>
      <c r="D180" t="s">
        <v>10</v>
      </c>
      <c r="E180" t="s">
        <v>37</v>
      </c>
      <c r="F180" s="31">
        <v>1</v>
      </c>
      <c r="G180" s="32">
        <f t="shared" si="9"/>
        <v>5.0354242093125128E-3</v>
      </c>
      <c r="H180" s="18"/>
      <c r="I180" s="19"/>
    </row>
    <row r="181" spans="1:9" x14ac:dyDescent="0.2">
      <c r="A181" s="115"/>
      <c r="B181" s="15">
        <v>20</v>
      </c>
      <c r="D181" t="s">
        <v>10</v>
      </c>
      <c r="E181" t="s">
        <v>38</v>
      </c>
      <c r="F181" s="31">
        <v>16.100000000000001</v>
      </c>
      <c r="G181" s="32">
        <f t="shared" si="9"/>
        <v>8.1070329769931462E-2</v>
      </c>
      <c r="H181" s="18"/>
      <c r="I181" s="19"/>
    </row>
    <row r="182" spans="1:9" x14ac:dyDescent="0.2">
      <c r="A182" s="115"/>
      <c r="B182" s="15">
        <v>21</v>
      </c>
      <c r="D182" t="s">
        <v>10</v>
      </c>
      <c r="E182" t="s">
        <v>144</v>
      </c>
      <c r="F182" s="31">
        <v>16.100000000000001</v>
      </c>
      <c r="G182" s="32">
        <f t="shared" si="9"/>
        <v>8.1070329769931462E-2</v>
      </c>
      <c r="H182" s="18"/>
      <c r="I182" s="19"/>
    </row>
    <row r="183" spans="1:9" x14ac:dyDescent="0.2">
      <c r="A183" s="115"/>
      <c r="B183" s="15">
        <v>22</v>
      </c>
      <c r="D183" t="s">
        <v>10</v>
      </c>
      <c r="E183" t="s">
        <v>90</v>
      </c>
      <c r="F183" s="31">
        <v>38.5</v>
      </c>
      <c r="G183" s="12">
        <f t="shared" si="9"/>
        <v>0.19386383205853172</v>
      </c>
      <c r="H183" s="18"/>
      <c r="I183" s="19"/>
    </row>
    <row r="184" spans="1:9" x14ac:dyDescent="0.2">
      <c r="A184" s="115"/>
      <c r="B184" s="15">
        <v>23</v>
      </c>
      <c r="D184" t="s">
        <v>10</v>
      </c>
      <c r="E184" t="s">
        <v>23</v>
      </c>
      <c r="F184" s="31">
        <v>0.875</v>
      </c>
      <c r="G184" s="32">
        <f t="shared" si="9"/>
        <v>4.4059961831484484E-3</v>
      </c>
      <c r="H184" s="18"/>
      <c r="I184" s="19"/>
    </row>
    <row r="185" spans="1:9" x14ac:dyDescent="0.2">
      <c r="A185" s="115"/>
      <c r="B185" s="15">
        <v>24</v>
      </c>
      <c r="D185" t="s">
        <v>10</v>
      </c>
      <c r="E185" t="s">
        <v>145</v>
      </c>
      <c r="F185" s="31">
        <v>0.80500000000000005</v>
      </c>
      <c r="G185" s="32">
        <f t="shared" si="9"/>
        <v>4.0535164884965731E-3</v>
      </c>
      <c r="H185" s="18"/>
      <c r="I185" s="19"/>
    </row>
    <row r="186" spans="1:9" x14ac:dyDescent="0.2">
      <c r="A186" s="115"/>
      <c r="B186" s="15">
        <v>25</v>
      </c>
      <c r="D186" t="s">
        <v>10</v>
      </c>
      <c r="E186" t="s">
        <v>91</v>
      </c>
      <c r="F186" s="31">
        <v>0.56000000000000005</v>
      </c>
      <c r="G186" s="12">
        <f t="shared" si="9"/>
        <v>2.8198375572150072E-3</v>
      </c>
      <c r="H186" s="18"/>
      <c r="I186" s="19"/>
    </row>
    <row r="187" spans="1:9" x14ac:dyDescent="0.2">
      <c r="A187" s="115"/>
      <c r="B187" s="15">
        <v>26</v>
      </c>
      <c r="D187" t="s">
        <v>10</v>
      </c>
      <c r="E187" t="s">
        <v>146</v>
      </c>
      <c r="F187" s="31">
        <v>0.193</v>
      </c>
      <c r="G187" s="32">
        <f t="shared" si="9"/>
        <v>9.7183687239731488E-4</v>
      </c>
      <c r="H187" s="18"/>
      <c r="I187" s="19"/>
    </row>
    <row r="188" spans="1:9" x14ac:dyDescent="0.2">
      <c r="A188" s="115"/>
      <c r="B188" s="15">
        <v>27</v>
      </c>
      <c r="D188" t="s">
        <v>10</v>
      </c>
      <c r="E188" t="s">
        <v>141</v>
      </c>
      <c r="F188" s="31">
        <v>7.0000000000000007E-2</v>
      </c>
      <c r="G188" s="32">
        <f t="shared" si="9"/>
        <v>3.5247969465187589E-4</v>
      </c>
      <c r="H188" s="18"/>
      <c r="I188" s="19"/>
    </row>
    <row r="189" spans="1:9" x14ac:dyDescent="0.2">
      <c r="A189" s="115"/>
      <c r="B189" s="15">
        <v>28</v>
      </c>
      <c r="D189" t="s">
        <v>10</v>
      </c>
      <c r="E189" t="s">
        <v>147</v>
      </c>
      <c r="F189" s="31">
        <v>11.9</v>
      </c>
      <c r="G189" s="32">
        <f t="shared" si="9"/>
        <v>5.9921548090818899E-2</v>
      </c>
      <c r="H189" s="18"/>
      <c r="I189" s="19"/>
    </row>
    <row r="190" spans="1:9" x14ac:dyDescent="0.2">
      <c r="A190" s="115"/>
      <c r="B190" s="15">
        <v>29</v>
      </c>
      <c r="D190" t="s">
        <v>10</v>
      </c>
      <c r="E190" t="s">
        <v>22</v>
      </c>
      <c r="F190" s="31">
        <v>2.2999999999999998</v>
      </c>
      <c r="G190" s="32">
        <f t="shared" si="9"/>
        <v>1.1581475681418778E-2</v>
      </c>
      <c r="H190" s="18"/>
      <c r="I190" s="19"/>
    </row>
    <row r="191" spans="1:9" x14ac:dyDescent="0.2">
      <c r="A191" s="115"/>
      <c r="B191" s="15">
        <v>30</v>
      </c>
      <c r="D191" t="s">
        <v>10</v>
      </c>
      <c r="E191" t="s">
        <v>148</v>
      </c>
      <c r="F191" s="31">
        <v>1.99</v>
      </c>
      <c r="G191" s="32">
        <f t="shared" si="9"/>
        <v>1.00204941765319E-2</v>
      </c>
      <c r="H191" s="18"/>
      <c r="I191" s="19"/>
    </row>
    <row r="192" spans="1:9" x14ac:dyDescent="0.2">
      <c r="A192" s="115"/>
      <c r="B192" s="15">
        <v>31</v>
      </c>
      <c r="D192" t="s">
        <v>10</v>
      </c>
      <c r="E192" t="s">
        <v>149</v>
      </c>
      <c r="F192" s="31">
        <v>12</v>
      </c>
      <c r="G192" s="12">
        <f t="shared" si="9"/>
        <v>6.042509051175015E-2</v>
      </c>
      <c r="H192" s="18"/>
      <c r="I192" s="19"/>
    </row>
    <row r="193" spans="1:9" x14ac:dyDescent="0.2">
      <c r="A193" s="115"/>
      <c r="B193" s="15">
        <v>32</v>
      </c>
      <c r="D193" t="s">
        <v>17</v>
      </c>
      <c r="E193" t="s">
        <v>45</v>
      </c>
      <c r="F193" s="31">
        <v>10</v>
      </c>
      <c r="G193" s="32" t="s">
        <v>19</v>
      </c>
      <c r="H193" s="18"/>
      <c r="I193" s="19"/>
    </row>
    <row r="194" spans="1:9" ht="16" thickBot="1" x14ac:dyDescent="0.25">
      <c r="A194" s="115"/>
      <c r="B194" s="15">
        <v>33</v>
      </c>
      <c r="C194" s="44"/>
      <c r="D194" s="44" t="s">
        <v>17</v>
      </c>
      <c r="E194" s="44" t="s">
        <v>46</v>
      </c>
      <c r="F194" s="45">
        <v>1</v>
      </c>
      <c r="G194" s="20" t="s">
        <v>19</v>
      </c>
      <c r="H194" s="28" t="s">
        <v>142</v>
      </c>
      <c r="I194" s="29" t="s">
        <v>143</v>
      </c>
    </row>
    <row r="195" spans="1:9" ht="16" thickTop="1" x14ac:dyDescent="0.2">
      <c r="A195" s="115"/>
      <c r="B195" s="49">
        <v>34</v>
      </c>
      <c r="C195" s="50">
        <v>46041</v>
      </c>
      <c r="D195" s="51" t="s">
        <v>10</v>
      </c>
      <c r="E195" s="51" t="s">
        <v>150</v>
      </c>
      <c r="F195" s="51">
        <v>52.8</v>
      </c>
      <c r="G195" s="57">
        <f>F195/SUM($F$195:$F$199)</f>
        <v>0.99534375176730072</v>
      </c>
      <c r="H195" s="75" t="s">
        <v>151</v>
      </c>
      <c r="I195" s="54" t="s">
        <v>152</v>
      </c>
    </row>
    <row r="196" spans="1:9" x14ac:dyDescent="0.2">
      <c r="A196" s="115"/>
      <c r="B196" s="49">
        <v>35</v>
      </c>
      <c r="C196" s="51"/>
      <c r="D196" s="51" t="s">
        <v>10</v>
      </c>
      <c r="E196" s="51" t="s">
        <v>102</v>
      </c>
      <c r="F196" s="51">
        <v>9.6000000000000002E-2</v>
      </c>
      <c r="G196" s="57">
        <f>F196/SUM($F$195:$F$199)</f>
        <v>1.8097159123041833E-3</v>
      </c>
      <c r="H196" s="76"/>
      <c r="I196" s="56"/>
    </row>
    <row r="197" spans="1:9" x14ac:dyDescent="0.2">
      <c r="A197" s="115"/>
      <c r="B197" s="49">
        <v>36</v>
      </c>
      <c r="C197" s="51"/>
      <c r="D197" s="51" t="s">
        <v>10</v>
      </c>
      <c r="E197" s="51" t="s">
        <v>153</v>
      </c>
      <c r="F197" s="51">
        <v>0.09</v>
      </c>
      <c r="G197" s="57">
        <f>F197/SUM($F$195:$F$199)</f>
        <v>1.6966086677851716E-3</v>
      </c>
      <c r="H197" s="76"/>
      <c r="I197" s="56"/>
    </row>
    <row r="198" spans="1:9" x14ac:dyDescent="0.2">
      <c r="A198" s="115"/>
      <c r="B198" s="49">
        <v>37</v>
      </c>
      <c r="C198" s="51"/>
      <c r="D198" s="51" t="s">
        <v>10</v>
      </c>
      <c r="E198" s="51" t="s">
        <v>103</v>
      </c>
      <c r="F198" s="51">
        <v>5.9200000000000003E-2</v>
      </c>
      <c r="G198" s="57">
        <f>F198/SUM($F$195:$F$199)</f>
        <v>1.1159914792542463E-3</v>
      </c>
      <c r="H198" s="76"/>
      <c r="I198" s="56"/>
    </row>
    <row r="199" spans="1:9" ht="16" thickBot="1" x14ac:dyDescent="0.25">
      <c r="A199" s="115"/>
      <c r="B199" s="49">
        <v>38</v>
      </c>
      <c r="C199" s="59"/>
      <c r="D199" s="59" t="s">
        <v>10</v>
      </c>
      <c r="E199" s="59" t="s">
        <v>154</v>
      </c>
      <c r="F199" s="59">
        <v>1.8E-3</v>
      </c>
      <c r="G199" s="60">
        <f>F199/SUM($F$195:$F$199)</f>
        <v>3.3932173355703436E-5</v>
      </c>
      <c r="H199" s="77" t="s">
        <v>151</v>
      </c>
      <c r="I199" s="62" t="s">
        <v>152</v>
      </c>
    </row>
    <row r="200" spans="1:9" ht="16" thickTop="1" x14ac:dyDescent="0.2">
      <c r="A200" s="115"/>
      <c r="B200" s="49">
        <v>39</v>
      </c>
      <c r="C200" s="51"/>
      <c r="D200" s="51" t="s">
        <v>10</v>
      </c>
      <c r="E200" s="51" t="s">
        <v>102</v>
      </c>
      <c r="F200" s="51">
        <v>1.419</v>
      </c>
      <c r="G200" s="57">
        <f>F200/SUM($F$200:$F$203)</f>
        <v>0.33192982456140346</v>
      </c>
      <c r="H200" s="75" t="s">
        <v>155</v>
      </c>
      <c r="I200" s="54" t="s">
        <v>152</v>
      </c>
    </row>
    <row r="201" spans="1:9" ht="16" thickBot="1" x14ac:dyDescent="0.25">
      <c r="A201" s="116"/>
      <c r="B201" s="79">
        <v>40</v>
      </c>
      <c r="C201" s="80"/>
      <c r="D201" s="80" t="s">
        <v>10</v>
      </c>
      <c r="E201" s="80" t="s">
        <v>103</v>
      </c>
      <c r="F201" s="80">
        <v>0.69599999999999995</v>
      </c>
      <c r="G201" s="81">
        <f>F201/SUM($F$200:$F$203)</f>
        <v>0.16280701754385962</v>
      </c>
      <c r="H201" s="82"/>
      <c r="I201" s="83"/>
    </row>
    <row r="202" spans="1:9" x14ac:dyDescent="0.2">
      <c r="A202" s="114" t="s">
        <v>156</v>
      </c>
      <c r="B202" s="84">
        <v>1</v>
      </c>
      <c r="C202" s="50">
        <v>46041</v>
      </c>
      <c r="D202" s="51" t="s">
        <v>10</v>
      </c>
      <c r="E202" s="51" t="s">
        <v>87</v>
      </c>
      <c r="F202" s="51">
        <v>1.32</v>
      </c>
      <c r="G202" s="57">
        <f>F202/SUM($F$200:$F$203)</f>
        <v>0.30877192982456142</v>
      </c>
      <c r="H202" s="53"/>
      <c r="I202" s="54" t="s">
        <v>152</v>
      </c>
    </row>
    <row r="203" spans="1:9" ht="16" thickBot="1" x14ac:dyDescent="0.25">
      <c r="A203" s="115"/>
      <c r="B203" s="49">
        <v>2</v>
      </c>
      <c r="C203" s="59"/>
      <c r="D203" s="59" t="s">
        <v>10</v>
      </c>
      <c r="E203" s="59" t="s">
        <v>42</v>
      </c>
      <c r="F203" s="59">
        <v>0.84</v>
      </c>
      <c r="G203" s="60">
        <f>F203/SUM($F$200:$F$203)</f>
        <v>0.19649122807017541</v>
      </c>
      <c r="H203" s="85" t="s">
        <v>155</v>
      </c>
      <c r="I203" s="62"/>
    </row>
    <row r="204" spans="1:9" ht="16" thickTop="1" x14ac:dyDescent="0.2">
      <c r="A204" s="115"/>
      <c r="B204" s="49">
        <v>3</v>
      </c>
      <c r="C204" s="50">
        <v>46041</v>
      </c>
      <c r="D204" s="51" t="s">
        <v>10</v>
      </c>
      <c r="E204" s="51" t="s">
        <v>99</v>
      </c>
      <c r="F204" s="51">
        <v>105.6</v>
      </c>
      <c r="G204" s="57">
        <f>F204/SUM($F$204:$F$208)</f>
        <v>0.92517960399509369</v>
      </c>
      <c r="H204" s="53" t="s">
        <v>157</v>
      </c>
      <c r="I204" s="54" t="s">
        <v>152</v>
      </c>
    </row>
    <row r="205" spans="1:9" x14ac:dyDescent="0.2">
      <c r="A205" s="115"/>
      <c r="B205" s="49">
        <v>4</v>
      </c>
      <c r="C205" s="51"/>
      <c r="D205" s="51" t="s">
        <v>10</v>
      </c>
      <c r="E205" s="51" t="s">
        <v>87</v>
      </c>
      <c r="F205" s="51">
        <v>2.64</v>
      </c>
      <c r="G205" s="57">
        <f>F205/SUM($F$204:$F$208)</f>
        <v>2.3129490099877345E-2</v>
      </c>
      <c r="H205" s="55"/>
      <c r="I205" s="56"/>
    </row>
    <row r="206" spans="1:9" x14ac:dyDescent="0.2">
      <c r="A206" s="115"/>
      <c r="B206" s="49">
        <v>5</v>
      </c>
      <c r="C206" s="51"/>
      <c r="D206" s="51" t="s">
        <v>10</v>
      </c>
      <c r="E206" s="51" t="s">
        <v>42</v>
      </c>
      <c r="F206" s="51">
        <v>1.68</v>
      </c>
      <c r="G206" s="57">
        <f>F206/SUM($F$204:$F$208)</f>
        <v>1.4718766427194673E-2</v>
      </c>
      <c r="H206" s="55"/>
      <c r="I206" s="56"/>
    </row>
    <row r="207" spans="1:9" x14ac:dyDescent="0.2">
      <c r="A207" s="115"/>
      <c r="B207" s="49">
        <v>6</v>
      </c>
      <c r="C207" s="51"/>
      <c r="D207" s="51" t="s">
        <v>10</v>
      </c>
      <c r="E207" s="51" t="s">
        <v>102</v>
      </c>
      <c r="F207" s="51">
        <v>2.83</v>
      </c>
      <c r="G207" s="57">
        <f>F207/SUM($F$204:$F$208)</f>
        <v>2.4794112493429124E-2</v>
      </c>
      <c r="H207" s="55"/>
      <c r="I207" s="56"/>
    </row>
    <row r="208" spans="1:9" ht="16" thickBot="1" x14ac:dyDescent="0.25">
      <c r="A208" s="115"/>
      <c r="B208" s="49">
        <v>7</v>
      </c>
      <c r="C208" s="59"/>
      <c r="D208" s="59" t="s">
        <v>10</v>
      </c>
      <c r="E208" s="51" t="s">
        <v>103</v>
      </c>
      <c r="F208" s="59">
        <v>1.39</v>
      </c>
      <c r="G208" s="60">
        <f>F208/SUM($F$204:$F$208)</f>
        <v>1.2178026984405116E-2</v>
      </c>
      <c r="H208" s="61" t="s">
        <v>157</v>
      </c>
      <c r="I208" s="62" t="s">
        <v>152</v>
      </c>
    </row>
    <row r="209" spans="1:9" ht="16" thickTop="1" x14ac:dyDescent="0.2">
      <c r="A209" s="115"/>
      <c r="B209" s="15">
        <v>8</v>
      </c>
      <c r="C209" s="30">
        <v>46041</v>
      </c>
      <c r="D209" t="s">
        <v>10</v>
      </c>
      <c r="E209" t="s">
        <v>158</v>
      </c>
      <c r="F209" s="31">
        <v>28.3</v>
      </c>
      <c r="G209" s="32">
        <f t="shared" ref="G209:G216" si="10">F209/SUM($F$209:$F$216)</f>
        <v>0.17404674046740468</v>
      </c>
      <c r="H209" s="2" t="s">
        <v>159</v>
      </c>
      <c r="I209" s="33" t="s">
        <v>160</v>
      </c>
    </row>
    <row r="210" spans="1:9" x14ac:dyDescent="0.2">
      <c r="A210" s="115"/>
      <c r="B210" s="15">
        <v>9</v>
      </c>
      <c r="D210" t="s">
        <v>10</v>
      </c>
      <c r="E210" t="s">
        <v>37</v>
      </c>
      <c r="F210" s="31">
        <v>2.5</v>
      </c>
      <c r="G210" s="12">
        <f t="shared" si="10"/>
        <v>1.5375153751537515E-2</v>
      </c>
      <c r="H210" s="18"/>
      <c r="I210" s="19"/>
    </row>
    <row r="211" spans="1:9" x14ac:dyDescent="0.2">
      <c r="A211" s="115"/>
      <c r="B211" s="15">
        <v>10</v>
      </c>
      <c r="D211" t="s">
        <v>10</v>
      </c>
      <c r="E211" t="s">
        <v>43</v>
      </c>
      <c r="F211" s="31">
        <v>0.5</v>
      </c>
      <c r="G211" s="32">
        <f t="shared" si="10"/>
        <v>3.0750307503075031E-3</v>
      </c>
      <c r="H211" s="18"/>
      <c r="I211" s="19"/>
    </row>
    <row r="212" spans="1:9" x14ac:dyDescent="0.2">
      <c r="A212" s="115"/>
      <c r="B212" s="15">
        <v>11</v>
      </c>
      <c r="D212" t="s">
        <v>10</v>
      </c>
      <c r="E212" t="s">
        <v>161</v>
      </c>
      <c r="F212" s="31">
        <v>10</v>
      </c>
      <c r="G212" s="32">
        <f t="shared" si="10"/>
        <v>6.1500615006150061E-2</v>
      </c>
      <c r="H212" s="18"/>
      <c r="I212" s="19"/>
    </row>
    <row r="213" spans="1:9" x14ac:dyDescent="0.2">
      <c r="A213" s="115"/>
      <c r="B213" s="15">
        <v>12</v>
      </c>
      <c r="D213" t="s">
        <v>10</v>
      </c>
      <c r="E213" t="s">
        <v>15</v>
      </c>
      <c r="F213" s="31">
        <v>77</v>
      </c>
      <c r="G213" s="32">
        <f t="shared" si="10"/>
        <v>0.4735547355473555</v>
      </c>
      <c r="H213" s="18"/>
      <c r="I213" s="19"/>
    </row>
    <row r="214" spans="1:9" x14ac:dyDescent="0.2">
      <c r="A214" s="115"/>
      <c r="B214" s="15">
        <v>13</v>
      </c>
      <c r="D214" t="s">
        <v>10</v>
      </c>
      <c r="E214" t="s">
        <v>162</v>
      </c>
      <c r="F214" s="31">
        <v>8.8000000000000007</v>
      </c>
      <c r="G214" s="32">
        <f t="shared" si="10"/>
        <v>5.4120541205412064E-2</v>
      </c>
      <c r="H214" s="18"/>
      <c r="I214" s="19"/>
    </row>
    <row r="215" spans="1:9" x14ac:dyDescent="0.2">
      <c r="A215" s="115"/>
      <c r="B215" s="15">
        <v>14</v>
      </c>
      <c r="D215" t="s">
        <v>10</v>
      </c>
      <c r="E215" t="s">
        <v>11</v>
      </c>
      <c r="F215" s="31">
        <v>33.5</v>
      </c>
      <c r="G215" s="32">
        <f t="shared" si="10"/>
        <v>0.20602706027060272</v>
      </c>
      <c r="H215" s="18"/>
      <c r="I215" s="19"/>
    </row>
    <row r="216" spans="1:9" x14ac:dyDescent="0.2">
      <c r="A216" s="115"/>
      <c r="B216" s="15">
        <v>15</v>
      </c>
      <c r="D216" t="s">
        <v>10</v>
      </c>
      <c r="E216" t="s">
        <v>23</v>
      </c>
      <c r="F216" s="31">
        <v>2</v>
      </c>
      <c r="G216" s="32">
        <f t="shared" si="10"/>
        <v>1.2300123001230012E-2</v>
      </c>
      <c r="H216" s="18"/>
      <c r="I216" s="19"/>
    </row>
    <row r="217" spans="1:9" ht="16" thickBot="1" x14ac:dyDescent="0.25">
      <c r="A217" s="115"/>
      <c r="B217" s="15">
        <v>16</v>
      </c>
      <c r="C217" s="44"/>
      <c r="D217" s="44" t="s">
        <v>17</v>
      </c>
      <c r="E217" s="44" t="s">
        <v>46</v>
      </c>
      <c r="F217" s="45">
        <v>42</v>
      </c>
      <c r="G217" s="20" t="s">
        <v>19</v>
      </c>
      <c r="H217" s="28" t="s">
        <v>159</v>
      </c>
      <c r="I217" s="29" t="s">
        <v>160</v>
      </c>
    </row>
    <row r="218" spans="1:9" ht="16" thickTop="1" x14ac:dyDescent="0.2">
      <c r="A218" s="115"/>
      <c r="B218" s="49">
        <v>17</v>
      </c>
      <c r="C218" s="50">
        <v>46041</v>
      </c>
      <c r="D218" s="51" t="s">
        <v>10</v>
      </c>
      <c r="E218" s="51" t="s">
        <v>109</v>
      </c>
      <c r="F218" s="51">
        <v>15.5</v>
      </c>
      <c r="G218" s="57">
        <f>F218/SUM($F$218:$F$221)</f>
        <v>0.86106327426254103</v>
      </c>
      <c r="H218" s="75" t="s">
        <v>163</v>
      </c>
      <c r="I218" s="54" t="s">
        <v>164</v>
      </c>
    </row>
    <row r="219" spans="1:9" x14ac:dyDescent="0.2">
      <c r="A219" s="115"/>
      <c r="B219" s="49">
        <v>18</v>
      </c>
      <c r="C219" s="51"/>
      <c r="D219" s="51" t="s">
        <v>10</v>
      </c>
      <c r="E219" s="51" t="s">
        <v>60</v>
      </c>
      <c r="F219" s="51">
        <v>2.0750000000000002</v>
      </c>
      <c r="G219" s="57">
        <f>F219/SUM($F$218:$F$221)</f>
        <v>0.115271373812566</v>
      </c>
      <c r="H219" s="76"/>
      <c r="I219" s="56"/>
    </row>
    <row r="220" spans="1:9" x14ac:dyDescent="0.2">
      <c r="A220" s="115"/>
      <c r="B220" s="49">
        <v>19</v>
      </c>
      <c r="C220" s="51"/>
      <c r="D220" s="51" t="s">
        <v>10</v>
      </c>
      <c r="E220" s="51" t="s">
        <v>115</v>
      </c>
      <c r="F220" s="51">
        <v>0.40699999999999997</v>
      </c>
      <c r="G220" s="57">
        <f>F220/SUM($F$218:$F$221)</f>
        <v>2.260985500805511E-2</v>
      </c>
      <c r="H220" s="76"/>
      <c r="I220" s="56"/>
    </row>
    <row r="221" spans="1:9" ht="16" thickBot="1" x14ac:dyDescent="0.25">
      <c r="A221" s="115"/>
      <c r="B221" s="49">
        <v>20</v>
      </c>
      <c r="C221" s="59"/>
      <c r="D221" s="59" t="s">
        <v>10</v>
      </c>
      <c r="E221" s="59" t="s">
        <v>59</v>
      </c>
      <c r="F221" s="59">
        <v>1.9E-2</v>
      </c>
      <c r="G221" s="60">
        <f>F221/SUM($F$218:$F$221)</f>
        <v>1.0554969168379536E-3</v>
      </c>
      <c r="H221" s="77" t="s">
        <v>163</v>
      </c>
      <c r="I221" s="62" t="s">
        <v>164</v>
      </c>
    </row>
    <row r="222" spans="1:9" ht="16" thickTop="1" x14ac:dyDescent="0.2">
      <c r="A222" s="115"/>
      <c r="B222" s="15">
        <v>21</v>
      </c>
      <c r="C222" s="30">
        <v>46042</v>
      </c>
      <c r="D222" t="s">
        <v>10</v>
      </c>
      <c r="E222" t="s">
        <v>15</v>
      </c>
      <c r="F222" s="31">
        <v>134</v>
      </c>
      <c r="G222" s="32">
        <f>F222/SUM($F$222:$F$224)</f>
        <v>0.79761904761904767</v>
      </c>
      <c r="H222" s="86" t="s">
        <v>165</v>
      </c>
      <c r="I222" s="33" t="s">
        <v>166</v>
      </c>
    </row>
    <row r="223" spans="1:9" x14ac:dyDescent="0.2">
      <c r="A223" s="115"/>
      <c r="B223" s="15">
        <v>22</v>
      </c>
      <c r="D223" t="s">
        <v>10</v>
      </c>
      <c r="E223" t="s">
        <v>22</v>
      </c>
      <c r="F223" s="31">
        <v>17</v>
      </c>
      <c r="G223" s="32">
        <f>F223/SUM($F$222:$F$224)</f>
        <v>0.10119047619047619</v>
      </c>
      <c r="H223" s="87" t="s">
        <v>167</v>
      </c>
      <c r="I223" s="19"/>
    </row>
    <row r="224" spans="1:9" ht="16" thickBot="1" x14ac:dyDescent="0.25">
      <c r="A224" s="115"/>
      <c r="B224" s="15">
        <v>23</v>
      </c>
      <c r="C224" s="44"/>
      <c r="D224" s="44" t="s">
        <v>10</v>
      </c>
      <c r="E224" s="44" t="s">
        <v>23</v>
      </c>
      <c r="F224" s="45">
        <v>17</v>
      </c>
      <c r="G224" s="20">
        <f>F224/SUM($F$222:$F$224)</f>
        <v>0.10119047619047619</v>
      </c>
      <c r="H224" s="88" t="s">
        <v>165</v>
      </c>
      <c r="I224" s="29" t="s">
        <v>166</v>
      </c>
    </row>
    <row r="225" spans="1:9" ht="16" thickTop="1" x14ac:dyDescent="0.2">
      <c r="A225" s="115"/>
      <c r="B225" s="15">
        <v>24</v>
      </c>
      <c r="C225" s="30">
        <v>46042</v>
      </c>
      <c r="D225" t="s">
        <v>10</v>
      </c>
      <c r="E225" t="s">
        <v>168</v>
      </c>
      <c r="F225" s="31">
        <v>13.76</v>
      </c>
      <c r="G225" s="32">
        <f>F225/SUM($F$225:$F$229)</f>
        <v>0.86</v>
      </c>
      <c r="H225" s="2" t="s">
        <v>169</v>
      </c>
      <c r="I225" s="33" t="s">
        <v>170</v>
      </c>
    </row>
    <row r="226" spans="1:9" x14ac:dyDescent="0.2">
      <c r="A226" s="115"/>
      <c r="B226" s="15">
        <v>25</v>
      </c>
      <c r="D226" t="s">
        <v>10</v>
      </c>
      <c r="E226" t="s">
        <v>171</v>
      </c>
      <c r="F226" s="31">
        <v>1.6</v>
      </c>
      <c r="G226" s="12">
        <f>F226/SUM($F$225:$F$229)</f>
        <v>0.1</v>
      </c>
      <c r="H226" s="18"/>
      <c r="I226" s="19"/>
    </row>
    <row r="227" spans="1:9" x14ac:dyDescent="0.2">
      <c r="A227" s="115"/>
      <c r="B227" s="15">
        <v>26</v>
      </c>
      <c r="D227" t="s">
        <v>10</v>
      </c>
      <c r="E227" t="s">
        <v>172</v>
      </c>
      <c r="F227" s="31">
        <v>0.24</v>
      </c>
      <c r="G227" s="32">
        <f>F227/SUM($F$225:$F$229)</f>
        <v>1.4999999999999999E-2</v>
      </c>
      <c r="H227" s="18"/>
      <c r="I227" s="19"/>
    </row>
    <row r="228" spans="1:9" x14ac:dyDescent="0.2">
      <c r="A228" s="115"/>
      <c r="B228" s="15">
        <v>27</v>
      </c>
      <c r="D228" t="s">
        <v>10</v>
      </c>
      <c r="E228" t="s">
        <v>173</v>
      </c>
      <c r="F228" s="31">
        <v>0.32</v>
      </c>
      <c r="G228" s="32">
        <f>F228/SUM($F$225:$F$229)</f>
        <v>0.02</v>
      </c>
      <c r="H228" s="18"/>
      <c r="I228" s="19"/>
    </row>
    <row r="229" spans="1:9" x14ac:dyDescent="0.2">
      <c r="A229" s="115"/>
      <c r="B229" s="15">
        <v>28</v>
      </c>
      <c r="D229" t="s">
        <v>10</v>
      </c>
      <c r="E229" t="s">
        <v>174</v>
      </c>
      <c r="F229" s="31">
        <v>0.08</v>
      </c>
      <c r="G229" s="32">
        <f>F229/SUM($F$225:$F$229)</f>
        <v>5.0000000000000001E-3</v>
      </c>
      <c r="H229" s="18"/>
      <c r="I229" s="19"/>
    </row>
    <row r="230" spans="1:9" ht="16" thickBot="1" x14ac:dyDescent="0.25">
      <c r="A230" s="115"/>
      <c r="B230" s="15">
        <v>29</v>
      </c>
      <c r="C230" s="44"/>
      <c r="D230" s="44" t="s">
        <v>17</v>
      </c>
      <c r="E230" s="44" t="s">
        <v>46</v>
      </c>
      <c r="F230" s="45">
        <v>4</v>
      </c>
      <c r="G230" s="20" t="s">
        <v>19</v>
      </c>
      <c r="H230" s="28" t="s">
        <v>169</v>
      </c>
      <c r="I230" s="29" t="s">
        <v>170</v>
      </c>
    </row>
    <row r="231" spans="1:9" ht="16" thickTop="1" x14ac:dyDescent="0.2">
      <c r="A231" s="115"/>
      <c r="B231" s="49">
        <v>30</v>
      </c>
      <c r="C231" s="50">
        <v>46042</v>
      </c>
      <c r="D231" s="51" t="s">
        <v>10</v>
      </c>
      <c r="E231" s="51" t="s">
        <v>42</v>
      </c>
      <c r="F231" s="51">
        <v>1.1000000000000001</v>
      </c>
      <c r="G231" s="57">
        <f>F231/SUM($F$231:$F$232)</f>
        <v>0.61111111111111116</v>
      </c>
      <c r="H231" s="75" t="s">
        <v>175</v>
      </c>
      <c r="I231" s="54" t="s">
        <v>176</v>
      </c>
    </row>
    <row r="232" spans="1:9" ht="16" thickBot="1" x14ac:dyDescent="0.25">
      <c r="A232" s="115"/>
      <c r="B232" s="49">
        <v>31</v>
      </c>
      <c r="C232" s="59"/>
      <c r="D232" s="59" t="s">
        <v>10</v>
      </c>
      <c r="E232" s="59" t="s">
        <v>87</v>
      </c>
      <c r="F232" s="59">
        <v>0.7</v>
      </c>
      <c r="G232" s="60">
        <f>F232/SUM($F$231:$F$232)</f>
        <v>0.38888888888888884</v>
      </c>
      <c r="H232" s="77" t="s">
        <v>175</v>
      </c>
      <c r="I232" s="62" t="s">
        <v>176</v>
      </c>
    </row>
    <row r="233" spans="1:9" ht="16" thickTop="1" x14ac:dyDescent="0.2">
      <c r="A233" s="115"/>
      <c r="B233" s="15">
        <v>32</v>
      </c>
      <c r="C233" t="s">
        <v>44</v>
      </c>
      <c r="D233" t="s">
        <v>44</v>
      </c>
      <c r="E233" t="s">
        <v>44</v>
      </c>
      <c r="F233" t="s">
        <v>44</v>
      </c>
      <c r="G233" s="12" t="s">
        <v>44</v>
      </c>
      <c r="H233" s="2" t="s">
        <v>44</v>
      </c>
      <c r="I233" s="33" t="s">
        <v>44</v>
      </c>
    </row>
    <row r="234" spans="1:9" x14ac:dyDescent="0.2">
      <c r="A234" s="115"/>
      <c r="B234" s="15">
        <v>33</v>
      </c>
      <c r="C234" t="s">
        <v>44</v>
      </c>
      <c r="D234" t="s">
        <v>44</v>
      </c>
      <c r="E234" t="s">
        <v>44</v>
      </c>
      <c r="F234" t="s">
        <v>44</v>
      </c>
      <c r="G234" s="32" t="s">
        <v>44</v>
      </c>
      <c r="H234" s="2" t="s">
        <v>44</v>
      </c>
      <c r="I234" s="33" t="s">
        <v>44</v>
      </c>
    </row>
    <row r="235" spans="1:9" x14ac:dyDescent="0.2">
      <c r="A235" s="115"/>
      <c r="B235" s="15">
        <v>34</v>
      </c>
      <c r="C235" t="s">
        <v>44</v>
      </c>
      <c r="D235" t="s">
        <v>44</v>
      </c>
      <c r="E235" t="s">
        <v>44</v>
      </c>
      <c r="F235" t="s">
        <v>44</v>
      </c>
      <c r="G235" s="32" t="s">
        <v>44</v>
      </c>
      <c r="H235" s="2" t="s">
        <v>44</v>
      </c>
      <c r="I235" s="33" t="s">
        <v>44</v>
      </c>
    </row>
    <row r="236" spans="1:9" x14ac:dyDescent="0.2">
      <c r="A236" s="115"/>
      <c r="B236" s="15">
        <v>35</v>
      </c>
      <c r="C236" t="s">
        <v>44</v>
      </c>
      <c r="D236" t="s">
        <v>44</v>
      </c>
      <c r="E236" t="s">
        <v>44</v>
      </c>
      <c r="F236" t="s">
        <v>44</v>
      </c>
      <c r="G236" s="12" t="s">
        <v>44</v>
      </c>
      <c r="H236" s="2" t="s">
        <v>44</v>
      </c>
      <c r="I236" s="33" t="s">
        <v>44</v>
      </c>
    </row>
    <row r="237" spans="1:9" x14ac:dyDescent="0.2">
      <c r="A237" s="115"/>
      <c r="B237" s="15">
        <v>36</v>
      </c>
      <c r="C237" t="s">
        <v>44</v>
      </c>
      <c r="D237" t="s">
        <v>44</v>
      </c>
      <c r="E237" t="s">
        <v>44</v>
      </c>
      <c r="F237" t="s">
        <v>44</v>
      </c>
      <c r="G237" s="12" t="s">
        <v>44</v>
      </c>
      <c r="H237" s="2" t="s">
        <v>44</v>
      </c>
      <c r="I237" s="33" t="s">
        <v>44</v>
      </c>
    </row>
    <row r="238" spans="1:9" x14ac:dyDescent="0.2">
      <c r="A238" s="115"/>
      <c r="B238" s="15">
        <v>37</v>
      </c>
      <c r="C238" t="s">
        <v>44</v>
      </c>
      <c r="D238" t="s">
        <v>44</v>
      </c>
      <c r="E238" t="s">
        <v>44</v>
      </c>
      <c r="F238" t="s">
        <v>44</v>
      </c>
      <c r="G238" s="12" t="s">
        <v>44</v>
      </c>
      <c r="H238" s="2" t="s">
        <v>44</v>
      </c>
      <c r="I238" s="33" t="s">
        <v>44</v>
      </c>
    </row>
    <row r="239" spans="1:9" x14ac:dyDescent="0.2">
      <c r="A239" s="115"/>
      <c r="B239" s="15">
        <v>38</v>
      </c>
      <c r="C239" t="s">
        <v>44</v>
      </c>
      <c r="D239" t="s">
        <v>44</v>
      </c>
      <c r="E239" t="s">
        <v>44</v>
      </c>
      <c r="F239" t="s">
        <v>44</v>
      </c>
      <c r="G239" s="32" t="s">
        <v>44</v>
      </c>
      <c r="H239" s="2" t="s">
        <v>44</v>
      </c>
      <c r="I239" s="33" t="s">
        <v>44</v>
      </c>
    </row>
    <row r="240" spans="1:9" x14ac:dyDescent="0.2">
      <c r="A240" s="115"/>
      <c r="B240" s="15">
        <v>39</v>
      </c>
      <c r="C240" t="s">
        <v>44</v>
      </c>
      <c r="D240" t="s">
        <v>44</v>
      </c>
      <c r="E240" t="s">
        <v>44</v>
      </c>
      <c r="F240" t="s">
        <v>44</v>
      </c>
      <c r="G240" s="32" t="s">
        <v>44</v>
      </c>
      <c r="H240" s="2" t="s">
        <v>44</v>
      </c>
      <c r="I240" s="33" t="s">
        <v>44</v>
      </c>
    </row>
    <row r="241" spans="1:9" ht="16" thickBot="1" x14ac:dyDescent="0.25">
      <c r="A241" s="116"/>
      <c r="B241" s="38">
        <v>40</v>
      </c>
      <c r="C241" s="40" t="s">
        <v>44</v>
      </c>
      <c r="D241" s="40" t="s">
        <v>44</v>
      </c>
      <c r="E241" s="40" t="s">
        <v>44</v>
      </c>
      <c r="F241" s="40" t="s">
        <v>44</v>
      </c>
      <c r="G241" s="41" t="s">
        <v>44</v>
      </c>
      <c r="H241" s="89" t="s">
        <v>44</v>
      </c>
      <c r="I241" s="90" t="s">
        <v>44</v>
      </c>
    </row>
    <row r="242" spans="1:9" x14ac:dyDescent="0.2">
      <c r="A242" s="114" t="s">
        <v>177</v>
      </c>
      <c r="B242" s="8">
        <v>1</v>
      </c>
      <c r="C242" s="30">
        <v>46042</v>
      </c>
      <c r="D242" t="s">
        <v>10</v>
      </c>
      <c r="E242" t="s">
        <v>11</v>
      </c>
      <c r="F242" s="31">
        <v>11</v>
      </c>
      <c r="G242" s="32">
        <f>F242/SUM($F$242:$F$245)</f>
        <v>0.29847506376512728</v>
      </c>
      <c r="H242" s="2" t="s">
        <v>178</v>
      </c>
      <c r="I242" s="33" t="s">
        <v>179</v>
      </c>
    </row>
    <row r="243" spans="1:9" x14ac:dyDescent="0.2">
      <c r="A243" s="115"/>
      <c r="B243" s="15">
        <v>2</v>
      </c>
      <c r="D243" t="s">
        <v>10</v>
      </c>
      <c r="E243" t="s">
        <v>180</v>
      </c>
      <c r="F243" s="31">
        <v>1.87</v>
      </c>
      <c r="G243" s="32">
        <f>F243/SUM($F$242:$F$245)</f>
        <v>5.074076084007164E-2</v>
      </c>
      <c r="H243" s="18"/>
      <c r="I243" s="19"/>
    </row>
    <row r="244" spans="1:9" x14ac:dyDescent="0.2">
      <c r="A244" s="115"/>
      <c r="B244" s="15">
        <v>3</v>
      </c>
      <c r="D244" t="s">
        <v>10</v>
      </c>
      <c r="E244" t="s">
        <v>22</v>
      </c>
      <c r="F244" s="31">
        <v>18.48</v>
      </c>
      <c r="G244" s="32">
        <f>F244/SUM($F$242:$F$245)</f>
        <v>0.50143810712541381</v>
      </c>
      <c r="H244" s="18"/>
      <c r="I244" s="19"/>
    </row>
    <row r="245" spans="1:9" x14ac:dyDescent="0.2">
      <c r="A245" s="115"/>
      <c r="B245" s="15">
        <v>4</v>
      </c>
      <c r="D245" t="s">
        <v>10</v>
      </c>
      <c r="E245" t="s">
        <v>16</v>
      </c>
      <c r="F245" s="31">
        <v>5.5039999999999996</v>
      </c>
      <c r="G245" s="32">
        <f>F245/SUM($F$242:$F$245)</f>
        <v>0.14934606826938732</v>
      </c>
      <c r="H245" s="18"/>
      <c r="I245" s="19"/>
    </row>
    <row r="246" spans="1:9" ht="16" thickBot="1" x14ac:dyDescent="0.25">
      <c r="A246" s="115"/>
      <c r="B246" s="15">
        <v>5</v>
      </c>
      <c r="C246" s="44"/>
      <c r="D246" s="44" t="s">
        <v>17</v>
      </c>
      <c r="E246" s="44" t="s">
        <v>18</v>
      </c>
      <c r="F246" s="45">
        <v>2</v>
      </c>
      <c r="G246" s="20" t="s">
        <v>19</v>
      </c>
      <c r="H246" s="28" t="s">
        <v>178</v>
      </c>
      <c r="I246" s="29" t="s">
        <v>179</v>
      </c>
    </row>
    <row r="247" spans="1:9" ht="16" thickTop="1" x14ac:dyDescent="0.2">
      <c r="A247" s="115"/>
      <c r="B247" s="15">
        <v>6</v>
      </c>
      <c r="C247" s="30">
        <v>46042</v>
      </c>
      <c r="D247" t="s">
        <v>10</v>
      </c>
      <c r="E247" t="s">
        <v>73</v>
      </c>
      <c r="F247" s="31">
        <v>186.8</v>
      </c>
      <c r="G247" s="32">
        <f t="shared" ref="G247:G254" si="11">F247/SUM($F$247:$F$254)</f>
        <v>0.6054359592659575</v>
      </c>
      <c r="H247" s="2" t="s">
        <v>181</v>
      </c>
      <c r="I247" s="33" t="s">
        <v>182</v>
      </c>
    </row>
    <row r="248" spans="1:9" x14ac:dyDescent="0.2">
      <c r="A248" s="115"/>
      <c r="B248" s="15">
        <v>7</v>
      </c>
      <c r="D248" t="s">
        <v>10</v>
      </c>
      <c r="E248" t="s">
        <v>76</v>
      </c>
      <c r="F248" s="31">
        <v>0.38800000000000001</v>
      </c>
      <c r="G248" s="32">
        <f t="shared" si="11"/>
        <v>1.2575436413018817E-3</v>
      </c>
      <c r="H248" s="18"/>
      <c r="I248" s="19"/>
    </row>
    <row r="249" spans="1:9" x14ac:dyDescent="0.2">
      <c r="A249" s="115"/>
      <c r="B249" s="15">
        <v>8</v>
      </c>
      <c r="D249" t="s">
        <v>10</v>
      </c>
      <c r="E249" t="s">
        <v>38</v>
      </c>
      <c r="F249" s="31">
        <v>1</v>
      </c>
      <c r="G249" s="32">
        <f t="shared" si="11"/>
        <v>3.2410918590254686E-3</v>
      </c>
      <c r="H249" s="18"/>
      <c r="I249" s="19"/>
    </row>
    <row r="250" spans="1:9" x14ac:dyDescent="0.2">
      <c r="A250" s="115"/>
      <c r="B250" s="15">
        <v>9</v>
      </c>
      <c r="D250" t="s">
        <v>10</v>
      </c>
      <c r="E250" t="s">
        <v>55</v>
      </c>
      <c r="F250" s="31">
        <v>115.8</v>
      </c>
      <c r="G250" s="32">
        <f t="shared" si="11"/>
        <v>0.37531843727514924</v>
      </c>
      <c r="H250" s="18"/>
      <c r="I250" s="19"/>
    </row>
    <row r="251" spans="1:9" x14ac:dyDescent="0.2">
      <c r="A251" s="115"/>
      <c r="B251" s="15">
        <v>10</v>
      </c>
      <c r="D251" t="s">
        <v>10</v>
      </c>
      <c r="E251" t="s">
        <v>80</v>
      </c>
      <c r="F251" s="31">
        <v>0.6</v>
      </c>
      <c r="G251" s="32">
        <f t="shared" si="11"/>
        <v>1.9446551154152811E-3</v>
      </c>
      <c r="H251" s="18"/>
      <c r="I251" s="19"/>
    </row>
    <row r="252" spans="1:9" x14ac:dyDescent="0.2">
      <c r="A252" s="115"/>
      <c r="B252" s="15">
        <v>11</v>
      </c>
      <c r="D252" t="s">
        <v>10</v>
      </c>
      <c r="E252" t="s">
        <v>183</v>
      </c>
      <c r="F252" s="31">
        <v>1.2</v>
      </c>
      <c r="G252" s="32">
        <f t="shared" si="11"/>
        <v>3.8893102308305621E-3</v>
      </c>
      <c r="H252" s="18"/>
      <c r="I252" s="19"/>
    </row>
    <row r="253" spans="1:9" x14ac:dyDescent="0.2">
      <c r="A253" s="115"/>
      <c r="B253" s="15">
        <v>12</v>
      </c>
      <c r="D253" t="s">
        <v>10</v>
      </c>
      <c r="E253" t="s">
        <v>184</v>
      </c>
      <c r="F253" s="31">
        <v>1.95</v>
      </c>
      <c r="G253" s="32">
        <f t="shared" si="11"/>
        <v>6.3201291250996631E-3</v>
      </c>
      <c r="H253" s="18"/>
      <c r="I253" s="19"/>
    </row>
    <row r="254" spans="1:9" x14ac:dyDescent="0.2">
      <c r="A254" s="115"/>
      <c r="B254" s="15">
        <v>13</v>
      </c>
      <c r="D254" t="s">
        <v>10</v>
      </c>
      <c r="E254" t="s">
        <v>83</v>
      </c>
      <c r="F254" s="31">
        <v>0.8</v>
      </c>
      <c r="G254" s="32">
        <f t="shared" si="11"/>
        <v>2.592873487220375E-3</v>
      </c>
      <c r="H254" s="18"/>
      <c r="I254" s="19"/>
    </row>
    <row r="255" spans="1:9" x14ac:dyDescent="0.2">
      <c r="A255" s="115"/>
      <c r="B255" s="15">
        <v>14</v>
      </c>
      <c r="D255" t="s">
        <v>17</v>
      </c>
      <c r="E255" t="s">
        <v>46</v>
      </c>
      <c r="F255" s="31">
        <v>30</v>
      </c>
      <c r="G255" s="12" t="s">
        <v>19</v>
      </c>
      <c r="H255" s="18"/>
      <c r="I255" s="19"/>
    </row>
    <row r="256" spans="1:9" ht="16" thickBot="1" x14ac:dyDescent="0.25">
      <c r="A256" s="115"/>
      <c r="B256" s="15">
        <v>15</v>
      </c>
      <c r="C256" s="44"/>
      <c r="D256" s="44" t="s">
        <v>17</v>
      </c>
      <c r="E256" s="44" t="s">
        <v>45</v>
      </c>
      <c r="F256" s="45">
        <v>16</v>
      </c>
      <c r="G256" s="20" t="s">
        <v>19</v>
      </c>
      <c r="H256" s="28" t="s">
        <v>181</v>
      </c>
      <c r="I256" s="29" t="s">
        <v>182</v>
      </c>
    </row>
    <row r="257" spans="1:9" ht="17" thickTop="1" thickBot="1" x14ac:dyDescent="0.25">
      <c r="A257" s="115"/>
      <c r="B257" s="15">
        <v>16</v>
      </c>
      <c r="C257" s="63" t="s">
        <v>44</v>
      </c>
      <c r="D257" s="63" t="s">
        <v>44</v>
      </c>
      <c r="E257" s="63" t="s">
        <v>44</v>
      </c>
      <c r="F257" s="63" t="s">
        <v>44</v>
      </c>
      <c r="G257" s="46" t="s">
        <v>44</v>
      </c>
      <c r="H257" s="64" t="s">
        <v>44</v>
      </c>
      <c r="I257" s="65" t="s">
        <v>44</v>
      </c>
    </row>
    <row r="258" spans="1:9" ht="16" thickTop="1" x14ac:dyDescent="0.2">
      <c r="A258" s="115"/>
      <c r="B258" s="15">
        <v>17</v>
      </c>
      <c r="C258" s="30">
        <v>46043</v>
      </c>
      <c r="D258" t="s">
        <v>10</v>
      </c>
      <c r="E258" t="s">
        <v>73</v>
      </c>
      <c r="F258" s="31">
        <v>198</v>
      </c>
      <c r="G258" s="32">
        <f t="shared" ref="G258:G268" si="12">F258/SUM($F$258:$F$268)</f>
        <v>0.47954080335194182</v>
      </c>
      <c r="H258" s="2" t="s">
        <v>185</v>
      </c>
      <c r="I258" s="33" t="s">
        <v>186</v>
      </c>
    </row>
    <row r="259" spans="1:9" x14ac:dyDescent="0.2">
      <c r="A259" s="115"/>
      <c r="B259" s="15">
        <v>18</v>
      </c>
      <c r="D259" t="s">
        <v>10</v>
      </c>
      <c r="E259" t="s">
        <v>55</v>
      </c>
      <c r="F259" s="31">
        <v>134.05000000000001</v>
      </c>
      <c r="G259" s="32">
        <f t="shared" si="12"/>
        <v>0.32465881156226162</v>
      </c>
      <c r="H259" s="18"/>
      <c r="I259" s="19"/>
    </row>
    <row r="260" spans="1:9" x14ac:dyDescent="0.2">
      <c r="A260" s="115"/>
      <c r="B260" s="15">
        <v>19</v>
      </c>
      <c r="D260" t="s">
        <v>10</v>
      </c>
      <c r="E260" t="s">
        <v>119</v>
      </c>
      <c r="F260" s="31">
        <v>2.1</v>
      </c>
      <c r="G260" s="32">
        <f t="shared" si="12"/>
        <v>5.0860388234296857E-3</v>
      </c>
      <c r="H260" s="18"/>
      <c r="I260" s="19"/>
    </row>
    <row r="261" spans="1:9" x14ac:dyDescent="0.2">
      <c r="A261" s="115"/>
      <c r="B261" s="15">
        <v>20</v>
      </c>
      <c r="D261" t="s">
        <v>10</v>
      </c>
      <c r="E261" t="s">
        <v>76</v>
      </c>
      <c r="F261" s="31">
        <v>2.4</v>
      </c>
      <c r="G261" s="32">
        <f t="shared" si="12"/>
        <v>5.8126157982053553E-3</v>
      </c>
      <c r="H261" s="18"/>
      <c r="I261" s="19"/>
    </row>
    <row r="262" spans="1:9" x14ac:dyDescent="0.2">
      <c r="A262" s="115"/>
      <c r="B262" s="15">
        <v>21</v>
      </c>
      <c r="D262" t="s">
        <v>10</v>
      </c>
      <c r="E262" t="s">
        <v>87</v>
      </c>
      <c r="F262" s="31">
        <v>4.8</v>
      </c>
      <c r="G262" s="12">
        <f t="shared" si="12"/>
        <v>1.1625231596410711E-2</v>
      </c>
      <c r="H262" s="18"/>
      <c r="I262" s="19"/>
    </row>
    <row r="263" spans="1:9" x14ac:dyDescent="0.2">
      <c r="A263" s="115"/>
      <c r="B263" s="15">
        <v>22</v>
      </c>
      <c r="D263" t="s">
        <v>10</v>
      </c>
      <c r="E263" t="s">
        <v>90</v>
      </c>
      <c r="F263" s="31">
        <v>36</v>
      </c>
      <c r="G263" s="32">
        <f t="shared" si="12"/>
        <v>8.7189236973080328E-2</v>
      </c>
      <c r="H263" s="18"/>
      <c r="I263" s="19"/>
    </row>
    <row r="264" spans="1:9" x14ac:dyDescent="0.2">
      <c r="A264" s="115"/>
      <c r="B264" s="15">
        <v>23</v>
      </c>
      <c r="D264" t="s">
        <v>10</v>
      </c>
      <c r="E264" t="s">
        <v>187</v>
      </c>
      <c r="F264" s="31">
        <v>30</v>
      </c>
      <c r="G264" s="32">
        <f t="shared" si="12"/>
        <v>7.2657697477566938E-2</v>
      </c>
      <c r="H264" s="18"/>
      <c r="I264" s="19"/>
    </row>
    <row r="265" spans="1:9" x14ac:dyDescent="0.2">
      <c r="A265" s="115"/>
      <c r="B265" s="15">
        <v>24</v>
      </c>
      <c r="D265" t="s">
        <v>10</v>
      </c>
      <c r="E265" t="s">
        <v>80</v>
      </c>
      <c r="F265" s="31">
        <v>0.75</v>
      </c>
      <c r="G265" s="32">
        <f t="shared" si="12"/>
        <v>1.8164424369391736E-3</v>
      </c>
      <c r="H265" s="18"/>
      <c r="I265" s="19"/>
    </row>
    <row r="266" spans="1:9" x14ac:dyDescent="0.2">
      <c r="A266" s="115"/>
      <c r="B266" s="15">
        <v>25</v>
      </c>
      <c r="D266" t="s">
        <v>10</v>
      </c>
      <c r="E266" t="s">
        <v>183</v>
      </c>
      <c r="F266" s="31">
        <v>1.4450000000000001</v>
      </c>
      <c r="G266" s="32">
        <f t="shared" si="12"/>
        <v>3.4996790951694742E-3</v>
      </c>
      <c r="H266" s="18"/>
      <c r="I266" s="19"/>
    </row>
    <row r="267" spans="1:9" x14ac:dyDescent="0.2">
      <c r="A267" s="115"/>
      <c r="B267" s="15">
        <v>26</v>
      </c>
      <c r="D267" t="s">
        <v>10</v>
      </c>
      <c r="E267" t="s">
        <v>184</v>
      </c>
      <c r="F267" s="31">
        <v>2.4</v>
      </c>
      <c r="G267" s="32">
        <f t="shared" si="12"/>
        <v>5.8126157982053553E-3</v>
      </c>
      <c r="H267" s="18"/>
      <c r="I267" s="19"/>
    </row>
    <row r="268" spans="1:9" x14ac:dyDescent="0.2">
      <c r="A268" s="115"/>
      <c r="B268" s="15">
        <v>27</v>
      </c>
      <c r="D268" t="s">
        <v>10</v>
      </c>
      <c r="E268" t="s">
        <v>83</v>
      </c>
      <c r="F268" s="31">
        <v>0.95</v>
      </c>
      <c r="G268" s="32">
        <f t="shared" si="12"/>
        <v>2.3008270867896198E-3</v>
      </c>
      <c r="H268" s="18"/>
      <c r="I268" s="19"/>
    </row>
    <row r="269" spans="1:9" ht="16" thickBot="1" x14ac:dyDescent="0.25">
      <c r="A269" s="115"/>
      <c r="B269" s="15">
        <v>28</v>
      </c>
      <c r="C269" s="44"/>
      <c r="D269" s="44" t="s">
        <v>17</v>
      </c>
      <c r="E269" s="44" t="s">
        <v>45</v>
      </c>
      <c r="F269" s="45">
        <v>27</v>
      </c>
      <c r="G269" s="20" t="s">
        <v>19</v>
      </c>
      <c r="H269" s="28" t="s">
        <v>185</v>
      </c>
      <c r="I269" s="29" t="s">
        <v>186</v>
      </c>
    </row>
    <row r="270" spans="1:9" ht="16" thickTop="1" x14ac:dyDescent="0.2">
      <c r="A270" s="115"/>
      <c r="B270" s="15">
        <v>29</v>
      </c>
      <c r="C270" s="30">
        <v>46043</v>
      </c>
      <c r="D270" t="s">
        <v>10</v>
      </c>
      <c r="E270" t="s">
        <v>22</v>
      </c>
      <c r="F270" s="31">
        <v>65.25</v>
      </c>
      <c r="G270" s="32">
        <f>F270/SUM($F$270:$F$271)</f>
        <v>0.96881959910913151</v>
      </c>
      <c r="H270" s="2" t="s">
        <v>188</v>
      </c>
      <c r="I270" s="33" t="s">
        <v>189</v>
      </c>
    </row>
    <row r="271" spans="1:9" x14ac:dyDescent="0.2">
      <c r="A271" s="115"/>
      <c r="B271" s="15">
        <v>30</v>
      </c>
      <c r="D271" t="s">
        <v>10</v>
      </c>
      <c r="E271" t="s">
        <v>23</v>
      </c>
      <c r="F271" s="31">
        <v>2.1</v>
      </c>
      <c r="G271" s="32">
        <f>F271/SUM($F$270:$F$271)</f>
        <v>3.1180400890868602E-2</v>
      </c>
      <c r="H271" s="18"/>
      <c r="I271" s="19"/>
    </row>
    <row r="272" spans="1:9" ht="16" thickBot="1" x14ac:dyDescent="0.25">
      <c r="A272" s="115"/>
      <c r="B272" s="15">
        <v>31</v>
      </c>
      <c r="C272" s="44"/>
      <c r="D272" s="44" t="s">
        <v>17</v>
      </c>
      <c r="E272" s="44" t="s">
        <v>18</v>
      </c>
      <c r="F272" s="45">
        <v>4</v>
      </c>
      <c r="G272" s="20" t="s">
        <v>19</v>
      </c>
      <c r="H272" s="28" t="s">
        <v>188</v>
      </c>
      <c r="I272" s="29" t="s">
        <v>189</v>
      </c>
    </row>
    <row r="273" spans="1:9" ht="16" thickTop="1" x14ac:dyDescent="0.2">
      <c r="A273" s="115"/>
      <c r="B273" s="49">
        <v>32</v>
      </c>
      <c r="C273" s="50">
        <v>46044</v>
      </c>
      <c r="D273" s="51" t="s">
        <v>10</v>
      </c>
      <c r="E273" s="51" t="s">
        <v>109</v>
      </c>
      <c r="F273" s="51">
        <v>15.5</v>
      </c>
      <c r="G273" s="57">
        <f>F273/SUM($F$273:$F$276)</f>
        <v>0.86130251166925986</v>
      </c>
      <c r="H273" s="75" t="s">
        <v>190</v>
      </c>
      <c r="I273" s="54" t="s">
        <v>191</v>
      </c>
    </row>
    <row r="274" spans="1:9" x14ac:dyDescent="0.2">
      <c r="A274" s="115"/>
      <c r="B274" s="49">
        <v>33</v>
      </c>
      <c r="C274" s="51"/>
      <c r="D274" s="51" t="s">
        <v>10</v>
      </c>
      <c r="E274" s="51" t="s">
        <v>60</v>
      </c>
      <c r="F274" s="51">
        <v>2.0699999999999998</v>
      </c>
      <c r="G274" s="57">
        <f>F274/SUM($F$273:$F$276)</f>
        <v>0.11502556123583019</v>
      </c>
      <c r="H274" s="76"/>
      <c r="I274" s="56"/>
    </row>
    <row r="275" spans="1:9" x14ac:dyDescent="0.2">
      <c r="A275" s="115"/>
      <c r="B275" s="49">
        <v>34</v>
      </c>
      <c r="C275" s="51"/>
      <c r="D275" s="51" t="s">
        <v>10</v>
      </c>
      <c r="E275" s="51" t="s">
        <v>115</v>
      </c>
      <c r="F275" s="51">
        <v>0.40699999999999997</v>
      </c>
      <c r="G275" s="57">
        <f>F275/SUM($F$273:$F$276)</f>
        <v>2.2616136919315404E-2</v>
      </c>
      <c r="H275" s="76"/>
      <c r="I275" s="56"/>
    </row>
    <row r="276" spans="1:9" ht="16" thickBot="1" x14ac:dyDescent="0.25">
      <c r="A276" s="115"/>
      <c r="B276" s="49">
        <v>35</v>
      </c>
      <c r="C276" s="91">
        <v>46044</v>
      </c>
      <c r="D276" s="59" t="s">
        <v>10</v>
      </c>
      <c r="E276" s="59" t="s">
        <v>59</v>
      </c>
      <c r="F276" s="59">
        <v>1.9E-2</v>
      </c>
      <c r="G276" s="60">
        <f>F276/SUM($F$273:$F$276)</f>
        <v>1.0557901755945767E-3</v>
      </c>
      <c r="H276" s="77" t="s">
        <v>190</v>
      </c>
      <c r="I276" s="62" t="s">
        <v>191</v>
      </c>
    </row>
    <row r="277" spans="1:9" ht="16" thickTop="1" x14ac:dyDescent="0.2">
      <c r="A277" s="115"/>
      <c r="B277" s="15">
        <v>36</v>
      </c>
      <c r="C277" s="92">
        <v>46076</v>
      </c>
      <c r="D277" s="1" t="s">
        <v>10</v>
      </c>
      <c r="E277" s="1" t="s">
        <v>11</v>
      </c>
      <c r="F277" s="1">
        <v>1.25</v>
      </c>
      <c r="G277" s="93" t="s">
        <v>44</v>
      </c>
      <c r="H277" s="94" t="s">
        <v>185</v>
      </c>
      <c r="I277" s="95" t="s">
        <v>186</v>
      </c>
    </row>
    <row r="278" spans="1:9" ht="16" thickBot="1" x14ac:dyDescent="0.25">
      <c r="A278" s="115"/>
      <c r="B278" s="15">
        <v>37</v>
      </c>
      <c r="C278" s="96">
        <v>46076</v>
      </c>
      <c r="D278" s="71" t="s">
        <v>10</v>
      </c>
      <c r="E278" s="71" t="s">
        <v>192</v>
      </c>
      <c r="F278" s="71">
        <v>1.9</v>
      </c>
      <c r="G278" s="72" t="s">
        <v>44</v>
      </c>
      <c r="H278" s="73" t="s">
        <v>185</v>
      </c>
      <c r="I278" s="97" t="s">
        <v>186</v>
      </c>
    </row>
    <row r="279" spans="1:9" ht="17" thickTop="1" thickBot="1" x14ac:dyDescent="0.25">
      <c r="A279" s="115"/>
      <c r="B279" s="15">
        <v>38</v>
      </c>
      <c r="C279" s="98">
        <v>46076</v>
      </c>
      <c r="D279" s="99" t="s">
        <v>17</v>
      </c>
      <c r="E279" s="99" t="s">
        <v>193</v>
      </c>
      <c r="F279" s="99">
        <v>1</v>
      </c>
      <c r="G279" s="100" t="s">
        <v>44</v>
      </c>
      <c r="H279" s="101" t="s">
        <v>178</v>
      </c>
      <c r="I279" s="102" t="s">
        <v>194</v>
      </c>
    </row>
    <row r="280" spans="1:9" ht="16" thickTop="1" x14ac:dyDescent="0.2">
      <c r="A280" s="115"/>
      <c r="B280" s="15">
        <v>39</v>
      </c>
      <c r="C280" t="s">
        <v>44</v>
      </c>
      <c r="D280" t="s">
        <v>44</v>
      </c>
      <c r="E280" t="s">
        <v>44</v>
      </c>
      <c r="F280" t="s">
        <v>44</v>
      </c>
      <c r="G280" s="32" t="s">
        <v>44</v>
      </c>
      <c r="H280" s="2" t="s">
        <v>44</v>
      </c>
      <c r="I280" s="33" t="s">
        <v>44</v>
      </c>
    </row>
    <row r="281" spans="1:9" ht="16" thickBot="1" x14ac:dyDescent="0.25">
      <c r="A281" s="116"/>
      <c r="B281" s="38">
        <v>40</v>
      </c>
      <c r="C281" s="40" t="s">
        <v>44</v>
      </c>
      <c r="D281" s="40" t="s">
        <v>44</v>
      </c>
      <c r="E281" s="40" t="s">
        <v>44</v>
      </c>
      <c r="F281" s="40" t="s">
        <v>44</v>
      </c>
      <c r="G281" s="41" t="s">
        <v>44</v>
      </c>
      <c r="H281" s="68" t="s">
        <v>44</v>
      </c>
      <c r="I281" s="69" t="s">
        <v>44</v>
      </c>
    </row>
    <row r="282" spans="1:9" x14ac:dyDescent="0.2">
      <c r="A282" s="114" t="s">
        <v>195</v>
      </c>
      <c r="B282" s="8">
        <v>1</v>
      </c>
      <c r="C282" s="30">
        <v>46044</v>
      </c>
      <c r="D282" t="s">
        <v>10</v>
      </c>
      <c r="E282" t="s">
        <v>136</v>
      </c>
      <c r="F282" s="31">
        <v>542.1</v>
      </c>
      <c r="G282" s="12">
        <f t="shared" ref="G282:G292" si="13">F282/SUM($F$282:$F$292)</f>
        <v>0.75582449144625852</v>
      </c>
      <c r="H282" s="2" t="s">
        <v>196</v>
      </c>
      <c r="I282" s="33" t="s">
        <v>197</v>
      </c>
    </row>
    <row r="283" spans="1:9" x14ac:dyDescent="0.2">
      <c r="A283" s="115"/>
      <c r="B283" s="15">
        <v>2</v>
      </c>
      <c r="D283" t="s">
        <v>10</v>
      </c>
      <c r="E283" t="s">
        <v>37</v>
      </c>
      <c r="F283" s="31">
        <v>7</v>
      </c>
      <c r="G283" s="32">
        <f t="shared" si="13"/>
        <v>9.7597702271237947E-3</v>
      </c>
      <c r="H283" s="18"/>
      <c r="I283" s="19"/>
    </row>
    <row r="284" spans="1:9" x14ac:dyDescent="0.2">
      <c r="A284" s="115"/>
      <c r="B284" s="15">
        <v>3</v>
      </c>
      <c r="D284" t="s">
        <v>10</v>
      </c>
      <c r="E284" t="s">
        <v>43</v>
      </c>
      <c r="F284" s="31">
        <v>2</v>
      </c>
      <c r="G284" s="32">
        <f t="shared" si="13"/>
        <v>2.7885057791782273E-3</v>
      </c>
      <c r="H284" s="18"/>
      <c r="I284" s="19"/>
    </row>
    <row r="285" spans="1:9" x14ac:dyDescent="0.2">
      <c r="A285" s="115"/>
      <c r="B285" s="15">
        <v>4</v>
      </c>
      <c r="D285" t="s">
        <v>10</v>
      </c>
      <c r="E285" t="s">
        <v>198</v>
      </c>
      <c r="F285" s="31">
        <v>21</v>
      </c>
      <c r="G285" s="32">
        <f t="shared" si="13"/>
        <v>2.9279310681371386E-2</v>
      </c>
      <c r="H285" s="18"/>
      <c r="I285" s="19"/>
    </row>
    <row r="286" spans="1:9" x14ac:dyDescent="0.2">
      <c r="A286" s="115"/>
      <c r="B286" s="15">
        <v>5</v>
      </c>
      <c r="D286" t="s">
        <v>10</v>
      </c>
      <c r="E286" t="s">
        <v>15</v>
      </c>
      <c r="F286" s="31">
        <v>58.15</v>
      </c>
      <c r="G286" s="32">
        <f t="shared" si="13"/>
        <v>8.1075805529606956E-2</v>
      </c>
      <c r="H286" s="18"/>
      <c r="I286" s="19"/>
    </row>
    <row r="287" spans="1:9" x14ac:dyDescent="0.2">
      <c r="A287" s="115"/>
      <c r="B287" s="15">
        <v>6</v>
      </c>
      <c r="D287" t="s">
        <v>10</v>
      </c>
      <c r="E287" t="s">
        <v>11</v>
      </c>
      <c r="F287" s="31">
        <v>27.9</v>
      </c>
      <c r="G287" s="32">
        <f t="shared" si="13"/>
        <v>3.8899655619536268E-2</v>
      </c>
      <c r="H287" s="18"/>
      <c r="I287" s="19"/>
    </row>
    <row r="288" spans="1:9" x14ac:dyDescent="0.2">
      <c r="A288" s="115"/>
      <c r="B288" s="15">
        <v>7</v>
      </c>
      <c r="D288" t="s">
        <v>10</v>
      </c>
      <c r="E288" t="s">
        <v>23</v>
      </c>
      <c r="F288" s="31">
        <v>10</v>
      </c>
      <c r="G288" s="32">
        <f t="shared" si="13"/>
        <v>1.3942528895891136E-2</v>
      </c>
      <c r="H288" s="18"/>
      <c r="I288" s="19"/>
    </row>
    <row r="289" spans="1:9" x14ac:dyDescent="0.2">
      <c r="A289" s="115"/>
      <c r="B289" s="15">
        <v>8</v>
      </c>
      <c r="D289" t="s">
        <v>10</v>
      </c>
      <c r="E289" t="s">
        <v>22</v>
      </c>
      <c r="F289" s="31">
        <v>47</v>
      </c>
      <c r="G289" s="32">
        <f t="shared" si="13"/>
        <v>6.5529885810688346E-2</v>
      </c>
      <c r="H289" s="18"/>
      <c r="I289" s="19"/>
    </row>
    <row r="290" spans="1:9" x14ac:dyDescent="0.2">
      <c r="A290" s="115"/>
      <c r="B290" s="15">
        <v>9</v>
      </c>
      <c r="D290" t="s">
        <v>10</v>
      </c>
      <c r="E290" t="s">
        <v>199</v>
      </c>
      <c r="F290" s="31">
        <v>1</v>
      </c>
      <c r="G290" s="32">
        <f t="shared" si="13"/>
        <v>1.3942528895891136E-3</v>
      </c>
      <c r="H290" s="18"/>
      <c r="I290" s="19"/>
    </row>
    <row r="291" spans="1:9" x14ac:dyDescent="0.2">
      <c r="A291" s="115"/>
      <c r="B291" s="15">
        <v>10</v>
      </c>
      <c r="D291" t="s">
        <v>10</v>
      </c>
      <c r="E291" t="s">
        <v>91</v>
      </c>
      <c r="F291" s="31">
        <v>1</v>
      </c>
      <c r="G291" s="32">
        <f t="shared" si="13"/>
        <v>1.3942528895891136E-3</v>
      </c>
      <c r="H291" s="18"/>
      <c r="I291" s="19"/>
    </row>
    <row r="292" spans="1:9" x14ac:dyDescent="0.2">
      <c r="A292" s="115"/>
      <c r="B292" s="15">
        <v>11</v>
      </c>
      <c r="D292" t="s">
        <v>10</v>
      </c>
      <c r="E292" t="s">
        <v>141</v>
      </c>
      <c r="F292" s="31">
        <v>0.08</v>
      </c>
      <c r="G292" s="32">
        <f t="shared" si="13"/>
        <v>1.1154023116712909E-4</v>
      </c>
      <c r="H292" s="18"/>
      <c r="I292" s="19"/>
    </row>
    <row r="293" spans="1:9" ht="16" thickBot="1" x14ac:dyDescent="0.25">
      <c r="A293" s="115"/>
      <c r="B293" s="15">
        <v>12</v>
      </c>
      <c r="C293" s="103">
        <v>46044</v>
      </c>
      <c r="D293" s="44" t="s">
        <v>17</v>
      </c>
      <c r="E293" s="44" t="s">
        <v>46</v>
      </c>
      <c r="F293" s="45">
        <v>194</v>
      </c>
      <c r="G293" s="20" t="s">
        <v>19</v>
      </c>
      <c r="H293" s="28" t="s">
        <v>196</v>
      </c>
      <c r="I293" s="29" t="s">
        <v>197</v>
      </c>
    </row>
    <row r="294" spans="1:9" ht="16" thickTop="1" x14ac:dyDescent="0.2">
      <c r="A294" s="115"/>
      <c r="B294" s="15">
        <v>13</v>
      </c>
      <c r="C294" s="30">
        <v>46045</v>
      </c>
      <c r="D294" t="s">
        <v>10</v>
      </c>
      <c r="E294" t="s">
        <v>200</v>
      </c>
      <c r="F294" s="31">
        <v>20.6</v>
      </c>
      <c r="G294" s="32">
        <f t="shared" ref="G294:G304" si="14">F294/SUM($F$294:$F$304)</f>
        <v>0.15039130942646889</v>
      </c>
      <c r="H294" s="2" t="s">
        <v>201</v>
      </c>
      <c r="I294" s="33" t="s">
        <v>202</v>
      </c>
    </row>
    <row r="295" spans="1:9" x14ac:dyDescent="0.2">
      <c r="A295" s="115"/>
      <c r="B295" s="15">
        <v>14</v>
      </c>
      <c r="D295" t="s">
        <v>10</v>
      </c>
      <c r="E295" t="s">
        <v>162</v>
      </c>
      <c r="F295" s="31">
        <v>8.6</v>
      </c>
      <c r="G295" s="32">
        <f t="shared" si="14"/>
        <v>6.2784721411050112E-2</v>
      </c>
      <c r="H295" s="18"/>
      <c r="I295" s="19"/>
    </row>
    <row r="296" spans="1:9" x14ac:dyDescent="0.2">
      <c r="A296" s="115"/>
      <c r="B296" s="15">
        <v>15</v>
      </c>
      <c r="D296" t="s">
        <v>10</v>
      </c>
      <c r="E296" t="s">
        <v>161</v>
      </c>
      <c r="F296" s="31">
        <v>0.25</v>
      </c>
      <c r="G296" s="32">
        <f t="shared" si="14"/>
        <v>1.8251372503212241E-3</v>
      </c>
      <c r="H296" s="18"/>
      <c r="I296" s="19"/>
    </row>
    <row r="297" spans="1:9" x14ac:dyDescent="0.2">
      <c r="A297" s="115"/>
      <c r="B297" s="15">
        <v>16</v>
      </c>
      <c r="D297" t="s">
        <v>10</v>
      </c>
      <c r="E297" t="s">
        <v>42</v>
      </c>
      <c r="F297" s="31">
        <v>0.4</v>
      </c>
      <c r="G297" s="32">
        <f t="shared" si="14"/>
        <v>2.9202196005139588E-3</v>
      </c>
      <c r="H297" s="18"/>
      <c r="I297" s="19"/>
    </row>
    <row r="298" spans="1:9" x14ac:dyDescent="0.2">
      <c r="A298" s="115"/>
      <c r="B298" s="15">
        <v>17</v>
      </c>
      <c r="D298" t="s">
        <v>10</v>
      </c>
      <c r="E298" t="s">
        <v>158</v>
      </c>
      <c r="F298" s="31">
        <v>19.600000000000001</v>
      </c>
      <c r="G298" s="12">
        <f t="shared" si="14"/>
        <v>0.14309076042518398</v>
      </c>
      <c r="H298" s="18"/>
      <c r="I298" s="19"/>
    </row>
    <row r="299" spans="1:9" x14ac:dyDescent="0.2">
      <c r="A299" s="115"/>
      <c r="B299" s="15">
        <v>18</v>
      </c>
      <c r="D299" t="s">
        <v>10</v>
      </c>
      <c r="E299" t="s">
        <v>15</v>
      </c>
      <c r="F299" s="31">
        <v>29.65</v>
      </c>
      <c r="G299" s="32">
        <f t="shared" si="14"/>
        <v>0.21646127788809719</v>
      </c>
      <c r="H299" s="18"/>
      <c r="I299" s="19"/>
    </row>
    <row r="300" spans="1:9" x14ac:dyDescent="0.2">
      <c r="A300" s="115"/>
      <c r="B300" s="15">
        <v>19</v>
      </c>
      <c r="D300" t="s">
        <v>10</v>
      </c>
      <c r="E300" t="s">
        <v>203</v>
      </c>
      <c r="F300" s="31">
        <v>48.35</v>
      </c>
      <c r="G300" s="32">
        <f t="shared" si="14"/>
        <v>0.35298154421212474</v>
      </c>
      <c r="H300" s="18"/>
      <c r="I300" s="19"/>
    </row>
    <row r="301" spans="1:9" x14ac:dyDescent="0.2">
      <c r="A301" s="115"/>
      <c r="B301" s="15">
        <v>20</v>
      </c>
      <c r="D301" t="s">
        <v>10</v>
      </c>
      <c r="E301" t="s">
        <v>16</v>
      </c>
      <c r="F301" s="31">
        <v>2.2999999999999998</v>
      </c>
      <c r="G301" s="32">
        <f t="shared" si="14"/>
        <v>1.6791262702955261E-2</v>
      </c>
      <c r="H301" s="18"/>
      <c r="I301" s="19"/>
    </row>
    <row r="302" spans="1:9" x14ac:dyDescent="0.2">
      <c r="A302" s="115"/>
      <c r="B302" s="15">
        <v>21</v>
      </c>
      <c r="D302" t="s">
        <v>10</v>
      </c>
      <c r="E302" t="s">
        <v>23</v>
      </c>
      <c r="F302" s="31">
        <v>2.4</v>
      </c>
      <c r="G302" s="32">
        <f t="shared" si="14"/>
        <v>1.7521317603083751E-2</v>
      </c>
      <c r="H302" s="18"/>
      <c r="I302" s="19"/>
    </row>
    <row r="303" spans="1:9" x14ac:dyDescent="0.2">
      <c r="A303" s="115"/>
      <c r="B303" s="15">
        <v>22</v>
      </c>
      <c r="D303" t="s">
        <v>10</v>
      </c>
      <c r="E303" t="s">
        <v>140</v>
      </c>
      <c r="F303" s="31">
        <v>0.126</v>
      </c>
      <c r="G303" s="12">
        <f t="shared" si="14"/>
        <v>9.1986917416189695E-4</v>
      </c>
      <c r="H303" s="18"/>
      <c r="I303" s="19"/>
    </row>
    <row r="304" spans="1:9" x14ac:dyDescent="0.2">
      <c r="A304" s="115"/>
      <c r="B304" s="15">
        <v>23</v>
      </c>
      <c r="D304" t="s">
        <v>10</v>
      </c>
      <c r="E304" t="s">
        <v>204</v>
      </c>
      <c r="F304" s="31">
        <v>4.7</v>
      </c>
      <c r="G304" s="32">
        <f t="shared" si="14"/>
        <v>3.4312580306039016E-2</v>
      </c>
      <c r="H304" s="18"/>
      <c r="I304" s="19"/>
    </row>
    <row r="305" spans="1:9" ht="16" thickBot="1" x14ac:dyDescent="0.25">
      <c r="A305" s="115"/>
      <c r="B305" s="15">
        <v>24</v>
      </c>
      <c r="C305" s="44"/>
      <c r="D305" s="44" t="s">
        <v>17</v>
      </c>
      <c r="E305" s="44" t="s">
        <v>46</v>
      </c>
      <c r="F305" s="45">
        <v>38</v>
      </c>
      <c r="G305" s="20" t="s">
        <v>19</v>
      </c>
      <c r="H305" s="28" t="s">
        <v>201</v>
      </c>
      <c r="I305" s="29" t="s">
        <v>202</v>
      </c>
    </row>
    <row r="306" spans="1:9" ht="16" thickTop="1" x14ac:dyDescent="0.2">
      <c r="A306" s="115"/>
      <c r="B306" s="15">
        <v>25</v>
      </c>
      <c r="C306" s="30">
        <v>46045</v>
      </c>
      <c r="D306" t="s">
        <v>10</v>
      </c>
      <c r="E306" t="s">
        <v>50</v>
      </c>
      <c r="F306" s="31">
        <v>93.2</v>
      </c>
      <c r="G306" s="32">
        <f>F306/SUM($F$306:$F$307)</f>
        <v>0.83812949640287771</v>
      </c>
      <c r="H306" s="2" t="s">
        <v>205</v>
      </c>
      <c r="I306" s="33" t="s">
        <v>206</v>
      </c>
    </row>
    <row r="307" spans="1:9" x14ac:dyDescent="0.2">
      <c r="A307" s="115"/>
      <c r="B307" s="15">
        <v>26</v>
      </c>
      <c r="D307" t="s">
        <v>10</v>
      </c>
      <c r="E307" t="s">
        <v>51</v>
      </c>
      <c r="F307" s="31">
        <v>18</v>
      </c>
      <c r="G307" s="12">
        <f>F307/SUM($F$306:$F$307)</f>
        <v>0.16187050359712229</v>
      </c>
      <c r="H307" s="18"/>
      <c r="I307" s="19"/>
    </row>
    <row r="308" spans="1:9" ht="16" thickBot="1" x14ac:dyDescent="0.25">
      <c r="A308" s="115"/>
      <c r="B308" s="15">
        <v>27</v>
      </c>
      <c r="C308" s="44"/>
      <c r="D308" s="44" t="s">
        <v>17</v>
      </c>
      <c r="E308" s="44" t="s">
        <v>46</v>
      </c>
      <c r="F308" s="45">
        <v>29</v>
      </c>
      <c r="G308" s="20" t="s">
        <v>19</v>
      </c>
      <c r="H308" s="28" t="s">
        <v>205</v>
      </c>
      <c r="I308" s="29" t="s">
        <v>206</v>
      </c>
    </row>
    <row r="309" spans="1:9" ht="16" thickTop="1" x14ac:dyDescent="0.2">
      <c r="A309" s="115"/>
      <c r="B309" s="15">
        <v>28</v>
      </c>
      <c r="C309" s="30">
        <v>46048</v>
      </c>
      <c r="D309" t="s">
        <v>10</v>
      </c>
      <c r="E309" t="s">
        <v>84</v>
      </c>
      <c r="F309" s="31">
        <v>400</v>
      </c>
      <c r="G309" s="32">
        <f t="shared" ref="G309:G321" si="15">F309/SUM($F$309:$F$321)</f>
        <v>0.29396634085397216</v>
      </c>
      <c r="H309" s="2" t="s">
        <v>207</v>
      </c>
      <c r="I309" s="33" t="s">
        <v>208</v>
      </c>
    </row>
    <row r="310" spans="1:9" x14ac:dyDescent="0.2">
      <c r="A310" s="115"/>
      <c r="B310" s="15">
        <v>29</v>
      </c>
      <c r="D310" t="s">
        <v>10</v>
      </c>
      <c r="E310" t="s">
        <v>37</v>
      </c>
      <c r="F310" s="31">
        <v>0.65</v>
      </c>
      <c r="G310" s="32">
        <f t="shared" si="15"/>
        <v>4.7769530388770475E-4</v>
      </c>
      <c r="H310" s="18"/>
      <c r="I310" s="19"/>
    </row>
    <row r="311" spans="1:9" x14ac:dyDescent="0.2">
      <c r="A311" s="115"/>
      <c r="B311" s="15">
        <v>30</v>
      </c>
      <c r="D311" t="s">
        <v>10</v>
      </c>
      <c r="E311" t="s">
        <v>76</v>
      </c>
      <c r="F311" s="31">
        <v>3.5</v>
      </c>
      <c r="G311" s="32">
        <f t="shared" si="15"/>
        <v>2.5722054824722563E-3</v>
      </c>
      <c r="H311" s="18"/>
      <c r="I311" s="19"/>
    </row>
    <row r="312" spans="1:9" x14ac:dyDescent="0.2">
      <c r="A312" s="115"/>
      <c r="B312" s="15">
        <v>31</v>
      </c>
      <c r="D312" t="s">
        <v>10</v>
      </c>
      <c r="E312" t="s">
        <v>87</v>
      </c>
      <c r="F312" s="31">
        <v>11</v>
      </c>
      <c r="G312" s="12">
        <f t="shared" si="15"/>
        <v>8.084074373484235E-3</v>
      </c>
      <c r="H312" s="18"/>
      <c r="I312" s="19"/>
    </row>
    <row r="313" spans="1:9" x14ac:dyDescent="0.2">
      <c r="A313" s="115"/>
      <c r="B313" s="15">
        <v>32</v>
      </c>
      <c r="D313" t="s">
        <v>10</v>
      </c>
      <c r="E313" t="s">
        <v>42</v>
      </c>
      <c r="F313" s="31">
        <v>7</v>
      </c>
      <c r="G313" s="32">
        <f t="shared" si="15"/>
        <v>5.1444109649445126E-3</v>
      </c>
      <c r="H313" s="18"/>
      <c r="I313" s="19"/>
    </row>
    <row r="314" spans="1:9" x14ac:dyDescent="0.2">
      <c r="A314" s="115"/>
      <c r="B314" s="15">
        <v>33</v>
      </c>
      <c r="D314" t="s">
        <v>10</v>
      </c>
      <c r="E314" t="s">
        <v>38</v>
      </c>
      <c r="F314" s="31">
        <v>96.6</v>
      </c>
      <c r="G314" s="32">
        <f t="shared" si="15"/>
        <v>7.0992871316234274E-2</v>
      </c>
      <c r="H314" s="18"/>
      <c r="I314" s="19"/>
    </row>
    <row r="315" spans="1:9" x14ac:dyDescent="0.2">
      <c r="A315" s="115"/>
      <c r="B315" s="15">
        <v>34</v>
      </c>
      <c r="D315" t="s">
        <v>10</v>
      </c>
      <c r="E315" t="s">
        <v>89</v>
      </c>
      <c r="F315" s="31">
        <v>2.75</v>
      </c>
      <c r="G315" s="32">
        <f t="shared" si="15"/>
        <v>2.0210185933710587E-3</v>
      </c>
      <c r="H315" s="18"/>
      <c r="I315" s="19"/>
    </row>
    <row r="316" spans="1:9" x14ac:dyDescent="0.2">
      <c r="A316" s="115"/>
      <c r="B316" s="15">
        <v>35</v>
      </c>
      <c r="D316" t="s">
        <v>10</v>
      </c>
      <c r="E316" t="s">
        <v>90</v>
      </c>
      <c r="F316" s="31">
        <v>666</v>
      </c>
      <c r="G316" s="32">
        <f t="shared" si="15"/>
        <v>0.48945395752186366</v>
      </c>
      <c r="H316" s="18"/>
      <c r="I316" s="19"/>
    </row>
    <row r="317" spans="1:9" x14ac:dyDescent="0.2">
      <c r="A317" s="115"/>
      <c r="B317" s="15">
        <v>36</v>
      </c>
      <c r="D317" t="s">
        <v>10</v>
      </c>
      <c r="E317" t="s">
        <v>11</v>
      </c>
      <c r="F317" s="31">
        <v>51</v>
      </c>
      <c r="G317" s="32">
        <f t="shared" si="15"/>
        <v>3.7480708458881448E-2</v>
      </c>
      <c r="H317" s="18"/>
      <c r="I317" s="19"/>
    </row>
    <row r="318" spans="1:9" x14ac:dyDescent="0.2">
      <c r="A318" s="115"/>
      <c r="B318" s="15">
        <v>37</v>
      </c>
      <c r="D318" t="s">
        <v>10</v>
      </c>
      <c r="E318" t="s">
        <v>15</v>
      </c>
      <c r="F318" s="31">
        <v>103.5</v>
      </c>
      <c r="G318" s="32">
        <f t="shared" si="15"/>
        <v>7.6063790695965292E-2</v>
      </c>
      <c r="H318" s="18"/>
      <c r="I318" s="19"/>
    </row>
    <row r="319" spans="1:9" x14ac:dyDescent="0.2">
      <c r="A319" s="115"/>
      <c r="B319" s="15">
        <v>38</v>
      </c>
      <c r="D319" t="s">
        <v>10</v>
      </c>
      <c r="E319" t="s">
        <v>23</v>
      </c>
      <c r="F319" s="31">
        <v>12.4</v>
      </c>
      <c r="G319" s="32">
        <f t="shared" si="15"/>
        <v>9.1129565664731377E-3</v>
      </c>
      <c r="H319" s="18"/>
      <c r="I319" s="19"/>
    </row>
    <row r="320" spans="1:9" x14ac:dyDescent="0.2">
      <c r="A320" s="115"/>
      <c r="B320" s="15">
        <v>39</v>
      </c>
      <c r="D320" t="s">
        <v>10</v>
      </c>
      <c r="E320" t="s">
        <v>91</v>
      </c>
      <c r="F320" s="31">
        <v>3.65</v>
      </c>
      <c r="G320" s="32">
        <f t="shared" si="15"/>
        <v>2.6824428602924958E-3</v>
      </c>
      <c r="H320" s="18"/>
      <c r="I320" s="19"/>
    </row>
    <row r="321" spans="1:9" ht="16" thickBot="1" x14ac:dyDescent="0.25">
      <c r="A321" s="116"/>
      <c r="B321" s="38">
        <v>40</v>
      </c>
      <c r="C321" s="104">
        <v>46048</v>
      </c>
      <c r="D321" s="40" t="s">
        <v>10</v>
      </c>
      <c r="E321" s="40" t="s">
        <v>92</v>
      </c>
      <c r="F321" s="67">
        <v>2.65</v>
      </c>
      <c r="G321" s="41">
        <f t="shared" si="15"/>
        <v>1.9475270081575654E-3</v>
      </c>
      <c r="H321" s="68" t="s">
        <v>207</v>
      </c>
      <c r="I321" s="90"/>
    </row>
    <row r="322" spans="1:9" x14ac:dyDescent="0.2">
      <c r="A322" s="114" t="s">
        <v>209</v>
      </c>
      <c r="B322" s="8">
        <v>1</v>
      </c>
      <c r="D322" t="s">
        <v>17</v>
      </c>
      <c r="E322" t="s">
        <v>45</v>
      </c>
      <c r="F322" s="31">
        <v>59</v>
      </c>
      <c r="G322" s="12" t="s">
        <v>19</v>
      </c>
      <c r="I322" s="33"/>
    </row>
    <row r="323" spans="1:9" ht="16" thickBot="1" x14ac:dyDescent="0.25">
      <c r="A323" s="115"/>
      <c r="B323" s="15">
        <v>2</v>
      </c>
      <c r="C323" s="103">
        <v>46048</v>
      </c>
      <c r="D323" s="44" t="s">
        <v>17</v>
      </c>
      <c r="E323" s="44" t="s">
        <v>46</v>
      </c>
      <c r="F323" s="45">
        <v>1</v>
      </c>
      <c r="G323" s="20" t="s">
        <v>19</v>
      </c>
      <c r="H323" s="28" t="s">
        <v>207</v>
      </c>
      <c r="I323" s="29" t="s">
        <v>208</v>
      </c>
    </row>
    <row r="324" spans="1:9" ht="16" thickTop="1" x14ac:dyDescent="0.2">
      <c r="A324" s="115"/>
      <c r="B324" s="15">
        <v>3</v>
      </c>
      <c r="C324" s="30">
        <v>46049</v>
      </c>
      <c r="D324" t="s">
        <v>10</v>
      </c>
      <c r="E324" t="s">
        <v>11</v>
      </c>
      <c r="F324" s="31">
        <v>15</v>
      </c>
      <c r="G324" s="12">
        <f>F324/SUM($F$324:$F$327)</f>
        <v>0.29844807003581375</v>
      </c>
      <c r="H324" s="2" t="s">
        <v>210</v>
      </c>
      <c r="I324" s="33" t="s">
        <v>211</v>
      </c>
    </row>
    <row r="325" spans="1:9" x14ac:dyDescent="0.2">
      <c r="A325" s="115"/>
      <c r="B325" s="15">
        <v>4</v>
      </c>
      <c r="D325" t="s">
        <v>10</v>
      </c>
      <c r="E325" t="s">
        <v>14</v>
      </c>
      <c r="F325" s="31">
        <v>2.5</v>
      </c>
      <c r="G325" s="12">
        <f t="shared" ref="G325:G327" si="16">F325/SUM($F$324:$F$327)</f>
        <v>4.9741345005968954E-2</v>
      </c>
      <c r="H325" s="18"/>
      <c r="I325" s="19"/>
    </row>
    <row r="326" spans="1:9" x14ac:dyDescent="0.2">
      <c r="A326" s="115"/>
      <c r="B326" s="15">
        <v>5</v>
      </c>
      <c r="D326" t="s">
        <v>10</v>
      </c>
      <c r="E326" t="s">
        <v>15</v>
      </c>
      <c r="F326" s="31">
        <v>25.2</v>
      </c>
      <c r="G326" s="12">
        <f>F326/SUM($F$324:$F$327)</f>
        <v>0.50139275766016711</v>
      </c>
      <c r="H326" s="18"/>
      <c r="I326" s="19"/>
    </row>
    <row r="327" spans="1:9" x14ac:dyDescent="0.2">
      <c r="A327" s="115"/>
      <c r="B327" s="15">
        <v>6</v>
      </c>
      <c r="D327" t="s">
        <v>10</v>
      </c>
      <c r="E327" t="s">
        <v>16</v>
      </c>
      <c r="F327" s="31">
        <v>7.56</v>
      </c>
      <c r="G327" s="12">
        <f t="shared" si="16"/>
        <v>0.15041782729805012</v>
      </c>
      <c r="H327" s="18"/>
      <c r="I327" s="19"/>
    </row>
    <row r="328" spans="1:9" ht="16" thickBot="1" x14ac:dyDescent="0.25">
      <c r="A328" s="115"/>
      <c r="B328" s="15">
        <v>7</v>
      </c>
      <c r="C328" s="44"/>
      <c r="D328" s="44" t="s">
        <v>17</v>
      </c>
      <c r="E328" s="44" t="s">
        <v>18</v>
      </c>
      <c r="F328" s="45">
        <v>3</v>
      </c>
      <c r="G328" s="20" t="s">
        <v>19</v>
      </c>
      <c r="H328" s="28" t="s">
        <v>210</v>
      </c>
      <c r="I328" s="29" t="s">
        <v>211</v>
      </c>
    </row>
    <row r="329" spans="1:9" ht="16" thickTop="1" x14ac:dyDescent="0.2">
      <c r="A329" s="115"/>
      <c r="B329" s="15">
        <v>8</v>
      </c>
      <c r="C329" s="30">
        <v>46049</v>
      </c>
      <c r="D329" t="s">
        <v>10</v>
      </c>
      <c r="E329" t="s">
        <v>212</v>
      </c>
      <c r="F329" s="31">
        <v>143.4</v>
      </c>
      <c r="G329" s="12">
        <f>F329/SUM($F$329:$F$339)</f>
        <v>0.29564328184659533</v>
      </c>
      <c r="H329" s="2" t="s">
        <v>213</v>
      </c>
      <c r="I329" s="33" t="s">
        <v>214</v>
      </c>
    </row>
    <row r="330" spans="1:9" x14ac:dyDescent="0.2">
      <c r="A330" s="115"/>
      <c r="B330" s="15">
        <v>9</v>
      </c>
      <c r="D330" t="s">
        <v>10</v>
      </c>
      <c r="E330" t="s">
        <v>37</v>
      </c>
      <c r="F330" s="31">
        <v>0.44400000000000001</v>
      </c>
      <c r="G330" s="12">
        <f t="shared" ref="G330:G339" si="17">F330/SUM($F$329:$F$339)</f>
        <v>9.153808726630985E-4</v>
      </c>
      <c r="H330" s="18"/>
      <c r="I330" s="19"/>
    </row>
    <row r="331" spans="1:9" x14ac:dyDescent="0.2">
      <c r="A331" s="115"/>
      <c r="B331" s="15">
        <v>10</v>
      </c>
      <c r="D331" t="s">
        <v>10</v>
      </c>
      <c r="E331" t="s">
        <v>76</v>
      </c>
      <c r="F331" s="31">
        <v>1.2</v>
      </c>
      <c r="G331" s="12">
        <f t="shared" si="17"/>
        <v>2.4740023585489148E-3</v>
      </c>
      <c r="H331" s="18"/>
      <c r="I331" s="19"/>
    </row>
    <row r="332" spans="1:9" x14ac:dyDescent="0.2">
      <c r="A332" s="115"/>
      <c r="B332" s="15">
        <v>11</v>
      </c>
      <c r="D332" t="s">
        <v>10</v>
      </c>
      <c r="E332" t="s">
        <v>87</v>
      </c>
      <c r="F332" s="31">
        <v>3.5</v>
      </c>
      <c r="G332" s="12">
        <f t="shared" si="17"/>
        <v>7.2158402124343352E-3</v>
      </c>
      <c r="H332" s="18"/>
      <c r="I332" s="19"/>
    </row>
    <row r="333" spans="1:9" x14ac:dyDescent="0.2">
      <c r="A333" s="115"/>
      <c r="B333" s="15">
        <v>12</v>
      </c>
      <c r="D333" t="s">
        <v>10</v>
      </c>
      <c r="E333" t="s">
        <v>42</v>
      </c>
      <c r="F333" s="31">
        <v>2.5</v>
      </c>
      <c r="G333" s="12">
        <f t="shared" si="17"/>
        <v>5.1541715803102399E-3</v>
      </c>
      <c r="H333" s="18"/>
      <c r="I333" s="19"/>
    </row>
    <row r="334" spans="1:9" x14ac:dyDescent="0.2">
      <c r="A334" s="115"/>
      <c r="B334" s="15">
        <v>13</v>
      </c>
      <c r="D334" t="s">
        <v>10</v>
      </c>
      <c r="E334" t="s">
        <v>215</v>
      </c>
      <c r="F334" s="31">
        <v>36</v>
      </c>
      <c r="G334" s="12">
        <f t="shared" si="17"/>
        <v>7.4220070756467443E-2</v>
      </c>
      <c r="H334" s="18"/>
      <c r="I334" s="19"/>
    </row>
    <row r="335" spans="1:9" x14ac:dyDescent="0.2">
      <c r="A335" s="115"/>
      <c r="B335" s="15">
        <v>14</v>
      </c>
      <c r="D335" t="s">
        <v>10</v>
      </c>
      <c r="E335" t="s">
        <v>216</v>
      </c>
      <c r="F335" s="31">
        <v>4.8</v>
      </c>
      <c r="G335" s="12">
        <f t="shared" si="17"/>
        <v>9.8960094341956593E-3</v>
      </c>
      <c r="H335" s="18"/>
      <c r="I335" s="19"/>
    </row>
    <row r="336" spans="1:9" x14ac:dyDescent="0.2">
      <c r="A336" s="115"/>
      <c r="B336" s="15">
        <v>15</v>
      </c>
      <c r="D336" t="s">
        <v>10</v>
      </c>
      <c r="E336" t="s">
        <v>90</v>
      </c>
      <c r="F336" s="31">
        <v>236</v>
      </c>
      <c r="G336" s="12">
        <f t="shared" si="17"/>
        <v>0.48655379718128661</v>
      </c>
      <c r="H336" s="18"/>
      <c r="I336" s="19"/>
    </row>
    <row r="337" spans="1:9" x14ac:dyDescent="0.2">
      <c r="A337" s="115"/>
      <c r="B337" s="15">
        <v>16</v>
      </c>
      <c r="D337" t="s">
        <v>10</v>
      </c>
      <c r="E337" t="s">
        <v>11</v>
      </c>
      <c r="F337" s="31">
        <v>16</v>
      </c>
      <c r="G337" s="12">
        <f t="shared" si="17"/>
        <v>3.2986698113985531E-2</v>
      </c>
      <c r="H337" s="18"/>
      <c r="I337" s="19"/>
    </row>
    <row r="338" spans="1:9" x14ac:dyDescent="0.2">
      <c r="A338" s="115"/>
      <c r="B338" s="15">
        <v>17</v>
      </c>
      <c r="D338" t="s">
        <v>10</v>
      </c>
      <c r="E338" t="s">
        <v>15</v>
      </c>
      <c r="F338" s="31">
        <v>36.6</v>
      </c>
      <c r="G338" s="12">
        <f t="shared" si="17"/>
        <v>7.5457071935741915E-2</v>
      </c>
      <c r="H338" s="18"/>
      <c r="I338" s="19"/>
    </row>
    <row r="339" spans="1:9" x14ac:dyDescent="0.2">
      <c r="A339" s="115"/>
      <c r="B339" s="15">
        <v>18</v>
      </c>
      <c r="D339" t="s">
        <v>10</v>
      </c>
      <c r="E339" t="s">
        <v>23</v>
      </c>
      <c r="F339" s="31">
        <v>4.5999999999999996</v>
      </c>
      <c r="G339" s="12">
        <f t="shared" si="17"/>
        <v>9.4836757077708406E-3</v>
      </c>
      <c r="H339" s="18"/>
      <c r="I339" s="19"/>
    </row>
    <row r="340" spans="1:9" x14ac:dyDescent="0.2">
      <c r="A340" s="115"/>
      <c r="B340" s="15">
        <v>19</v>
      </c>
      <c r="D340" t="s">
        <v>17</v>
      </c>
      <c r="E340" t="s">
        <v>45</v>
      </c>
      <c r="F340" s="31">
        <v>20</v>
      </c>
      <c r="G340" s="12" t="s">
        <v>19</v>
      </c>
      <c r="H340" s="18"/>
      <c r="I340" s="19"/>
    </row>
    <row r="341" spans="1:9" ht="16" thickBot="1" x14ac:dyDescent="0.25">
      <c r="A341" s="115"/>
      <c r="B341" s="15">
        <v>20</v>
      </c>
      <c r="C341" s="44"/>
      <c r="D341" s="44" t="s">
        <v>17</v>
      </c>
      <c r="E341" s="44" t="s">
        <v>46</v>
      </c>
      <c r="F341" s="45">
        <v>1</v>
      </c>
      <c r="G341" s="20" t="s">
        <v>19</v>
      </c>
      <c r="H341" s="28" t="s">
        <v>213</v>
      </c>
      <c r="I341" s="29" t="s">
        <v>214</v>
      </c>
    </row>
    <row r="342" spans="1:9" ht="16" thickTop="1" x14ac:dyDescent="0.2">
      <c r="A342" s="115"/>
      <c r="B342" s="15">
        <v>21</v>
      </c>
      <c r="C342" s="30">
        <v>46049</v>
      </c>
      <c r="D342" t="s">
        <v>10</v>
      </c>
      <c r="E342" t="s">
        <v>15</v>
      </c>
      <c r="F342" s="31">
        <v>92.55</v>
      </c>
      <c r="G342" s="12">
        <f>F342/SUM($F$342:$F$351)</f>
        <v>0.10086094158674803</v>
      </c>
      <c r="H342" s="2" t="s">
        <v>217</v>
      </c>
      <c r="I342" s="33" t="s">
        <v>218</v>
      </c>
    </row>
    <row r="343" spans="1:9" x14ac:dyDescent="0.2">
      <c r="A343" s="115"/>
      <c r="B343" s="15">
        <v>22</v>
      </c>
      <c r="D343" t="s">
        <v>10</v>
      </c>
      <c r="E343" t="s">
        <v>14</v>
      </c>
      <c r="F343" s="31">
        <v>56.1</v>
      </c>
      <c r="G343" s="12">
        <f t="shared" ref="G343:G351" si="18">F343/SUM($F$342:$F$351)</f>
        <v>6.1137750653879684E-2</v>
      </c>
      <c r="H343" s="18"/>
      <c r="I343" s="19"/>
    </row>
    <row r="344" spans="1:9" x14ac:dyDescent="0.2">
      <c r="A344" s="115"/>
      <c r="B344" s="15">
        <v>23</v>
      </c>
      <c r="D344" t="s">
        <v>10</v>
      </c>
      <c r="E344" t="s">
        <v>16</v>
      </c>
      <c r="F344" s="31">
        <v>1.8</v>
      </c>
      <c r="G344" s="12">
        <f t="shared" si="18"/>
        <v>1.9616390584132519E-3</v>
      </c>
      <c r="H344" s="18"/>
      <c r="I344" s="19"/>
    </row>
    <row r="345" spans="1:9" x14ac:dyDescent="0.2">
      <c r="A345" s="115"/>
      <c r="B345" s="15">
        <v>24</v>
      </c>
      <c r="D345" t="s">
        <v>10</v>
      </c>
      <c r="E345" t="s">
        <v>43</v>
      </c>
      <c r="F345" s="31">
        <v>1.6</v>
      </c>
      <c r="G345" s="12">
        <f t="shared" si="18"/>
        <v>1.7436791630340018E-3</v>
      </c>
      <c r="H345" s="18"/>
      <c r="I345" s="19"/>
    </row>
    <row r="346" spans="1:9" x14ac:dyDescent="0.2">
      <c r="A346" s="115"/>
      <c r="B346" s="15">
        <v>25</v>
      </c>
      <c r="D346" t="s">
        <v>10</v>
      </c>
      <c r="E346" t="s">
        <v>37</v>
      </c>
      <c r="F346" s="31">
        <v>4.25</v>
      </c>
      <c r="G346" s="12">
        <f t="shared" si="18"/>
        <v>4.6316477768090667E-3</v>
      </c>
      <c r="H346" s="18"/>
      <c r="I346" s="19"/>
    </row>
    <row r="347" spans="1:9" x14ac:dyDescent="0.2">
      <c r="A347" s="115"/>
      <c r="B347" s="15">
        <v>26</v>
      </c>
      <c r="D347" t="s">
        <v>10</v>
      </c>
      <c r="E347" t="s">
        <v>38</v>
      </c>
      <c r="F347" s="31">
        <v>72.599999999999994</v>
      </c>
      <c r="G347" s="12">
        <f t="shared" si="18"/>
        <v>7.9119442022667824E-2</v>
      </c>
      <c r="H347" s="18"/>
      <c r="I347" s="19"/>
    </row>
    <row r="348" spans="1:9" x14ac:dyDescent="0.2">
      <c r="A348" s="115"/>
      <c r="B348" s="15">
        <v>27</v>
      </c>
      <c r="D348" t="s">
        <v>10</v>
      </c>
      <c r="E348" t="s">
        <v>39</v>
      </c>
      <c r="F348" s="31">
        <v>333</v>
      </c>
      <c r="G348" s="12">
        <f t="shared" si="18"/>
        <v>0.36290322580645162</v>
      </c>
      <c r="H348" s="18"/>
      <c r="I348" s="19"/>
    </row>
    <row r="349" spans="1:9" x14ac:dyDescent="0.2">
      <c r="A349" s="115"/>
      <c r="B349" s="15">
        <v>28</v>
      </c>
      <c r="D349" t="s">
        <v>10</v>
      </c>
      <c r="E349" t="s">
        <v>36</v>
      </c>
      <c r="F349" s="31">
        <v>240</v>
      </c>
      <c r="G349" s="12">
        <f t="shared" si="18"/>
        <v>0.26155187445510025</v>
      </c>
      <c r="H349" s="18"/>
      <c r="I349" s="19"/>
    </row>
    <row r="350" spans="1:9" x14ac:dyDescent="0.2">
      <c r="A350" s="115"/>
      <c r="B350" s="15">
        <v>29</v>
      </c>
      <c r="D350" t="s">
        <v>10</v>
      </c>
      <c r="E350" t="s">
        <v>34</v>
      </c>
      <c r="F350" s="31">
        <v>103</v>
      </c>
      <c r="G350" s="12">
        <f t="shared" si="18"/>
        <v>0.11224934612031386</v>
      </c>
      <c r="H350" s="18"/>
      <c r="I350" s="19"/>
    </row>
    <row r="351" spans="1:9" x14ac:dyDescent="0.2">
      <c r="A351" s="115"/>
      <c r="B351" s="15">
        <v>30</v>
      </c>
      <c r="D351" t="s">
        <v>10</v>
      </c>
      <c r="E351" t="s">
        <v>42</v>
      </c>
      <c r="F351" s="31">
        <v>12.7</v>
      </c>
      <c r="G351" s="12">
        <f t="shared" si="18"/>
        <v>1.3840453356582388E-2</v>
      </c>
      <c r="H351" s="18"/>
      <c r="I351" s="19"/>
    </row>
    <row r="352" spans="1:9" x14ac:dyDescent="0.2">
      <c r="A352" s="115"/>
      <c r="B352" s="15">
        <v>31</v>
      </c>
      <c r="D352" t="s">
        <v>17</v>
      </c>
      <c r="E352" t="s">
        <v>45</v>
      </c>
      <c r="F352" s="31">
        <v>44</v>
      </c>
      <c r="G352" s="12" t="s">
        <v>19</v>
      </c>
      <c r="H352" s="18"/>
      <c r="I352" s="19"/>
    </row>
    <row r="353" spans="1:9" ht="16" thickBot="1" x14ac:dyDescent="0.25">
      <c r="A353" s="115"/>
      <c r="B353" s="15">
        <v>32</v>
      </c>
      <c r="C353" s="44"/>
      <c r="D353" s="44" t="s">
        <v>17</v>
      </c>
      <c r="E353" s="44" t="s">
        <v>46</v>
      </c>
      <c r="F353" s="45">
        <v>1</v>
      </c>
      <c r="G353" s="20" t="s">
        <v>19</v>
      </c>
      <c r="H353" s="28" t="s">
        <v>217</v>
      </c>
      <c r="I353" s="29" t="s">
        <v>218</v>
      </c>
    </row>
    <row r="354" spans="1:9" ht="16" thickTop="1" x14ac:dyDescent="0.2">
      <c r="A354" s="115"/>
      <c r="B354" s="15">
        <v>33</v>
      </c>
      <c r="C354" s="30">
        <v>46049</v>
      </c>
      <c r="D354" t="s">
        <v>10</v>
      </c>
      <c r="E354" t="s">
        <v>168</v>
      </c>
      <c r="F354" s="31">
        <v>189.2</v>
      </c>
      <c r="G354" s="12">
        <f>F354/SUM($F$354:$F$358)</f>
        <v>0.85804988662131509</v>
      </c>
      <c r="H354" s="2" t="s">
        <v>219</v>
      </c>
      <c r="I354" s="33" t="s">
        <v>220</v>
      </c>
    </row>
    <row r="355" spans="1:9" x14ac:dyDescent="0.2">
      <c r="A355" s="115"/>
      <c r="B355" s="15">
        <v>34</v>
      </c>
      <c r="D355" t="s">
        <v>10</v>
      </c>
      <c r="E355" t="s">
        <v>171</v>
      </c>
      <c r="F355" s="31">
        <v>22</v>
      </c>
      <c r="G355" s="12">
        <f>F355/SUM($F$354:$F$358)</f>
        <v>9.9773242630385492E-2</v>
      </c>
      <c r="H355" s="18"/>
      <c r="I355" s="19"/>
    </row>
    <row r="356" spans="1:9" x14ac:dyDescent="0.2">
      <c r="A356" s="115"/>
      <c r="B356" s="15">
        <v>35</v>
      </c>
      <c r="D356" t="s">
        <v>10</v>
      </c>
      <c r="E356" t="s">
        <v>172</v>
      </c>
      <c r="F356" s="31">
        <v>3.8</v>
      </c>
      <c r="G356" s="12">
        <f t="shared" ref="G356:G357" si="19">F356/SUM($F$354:$F$358)</f>
        <v>1.7233560090702947E-2</v>
      </c>
      <c r="H356" s="18"/>
      <c r="I356" s="19"/>
    </row>
    <row r="357" spans="1:9" x14ac:dyDescent="0.2">
      <c r="A357" s="115"/>
      <c r="B357" s="15">
        <v>36</v>
      </c>
      <c r="D357" t="s">
        <v>10</v>
      </c>
      <c r="E357" t="s">
        <v>173</v>
      </c>
      <c r="F357" s="31">
        <v>4.4000000000000004</v>
      </c>
      <c r="G357" s="12">
        <f t="shared" si="19"/>
        <v>1.99546485260771E-2</v>
      </c>
      <c r="H357" s="18"/>
      <c r="I357" s="19"/>
    </row>
    <row r="358" spans="1:9" x14ac:dyDescent="0.2">
      <c r="A358" s="115"/>
      <c r="B358" s="15">
        <v>37</v>
      </c>
      <c r="D358" t="s">
        <v>10</v>
      </c>
      <c r="E358" t="s">
        <v>174</v>
      </c>
      <c r="F358" s="31">
        <v>1.1000000000000001</v>
      </c>
      <c r="G358" s="12">
        <f>F358/SUM($F$354:$F$358)</f>
        <v>4.9886621315192751E-3</v>
      </c>
      <c r="H358" s="18"/>
      <c r="I358" s="19"/>
    </row>
    <row r="359" spans="1:9" ht="16" thickBot="1" x14ac:dyDescent="0.25">
      <c r="A359" s="115"/>
      <c r="B359" s="15">
        <v>38</v>
      </c>
      <c r="C359" s="44"/>
      <c r="D359" s="44" t="s">
        <v>17</v>
      </c>
      <c r="E359" s="44" t="s">
        <v>18</v>
      </c>
      <c r="F359" s="45">
        <v>11</v>
      </c>
      <c r="G359" s="20" t="s">
        <v>19</v>
      </c>
      <c r="H359" s="28" t="s">
        <v>219</v>
      </c>
      <c r="I359" s="29" t="s">
        <v>220</v>
      </c>
    </row>
    <row r="360" spans="1:9" ht="16" thickTop="1" x14ac:dyDescent="0.2">
      <c r="A360" s="115"/>
      <c r="B360" s="15">
        <v>39</v>
      </c>
      <c r="C360" t="s">
        <v>44</v>
      </c>
      <c r="D360" t="s">
        <v>44</v>
      </c>
      <c r="E360" t="s">
        <v>44</v>
      </c>
      <c r="F360" t="s">
        <v>44</v>
      </c>
      <c r="G360" t="s">
        <v>44</v>
      </c>
      <c r="H360" t="s">
        <v>44</v>
      </c>
      <c r="I360" t="s">
        <v>44</v>
      </c>
    </row>
    <row r="361" spans="1:9" ht="16" thickBot="1" x14ac:dyDescent="0.25">
      <c r="A361" s="116"/>
      <c r="B361" s="38">
        <v>40</v>
      </c>
      <c r="C361" s="40" t="s">
        <v>44</v>
      </c>
      <c r="D361" s="40" t="s">
        <v>44</v>
      </c>
      <c r="E361" s="40" t="s">
        <v>44</v>
      </c>
      <c r="F361" s="40" t="s">
        <v>44</v>
      </c>
      <c r="G361" s="40" t="s">
        <v>44</v>
      </c>
      <c r="H361" s="40" t="s">
        <v>44</v>
      </c>
      <c r="I361" s="40" t="s">
        <v>44</v>
      </c>
    </row>
    <row r="362" spans="1:9" x14ac:dyDescent="0.2">
      <c r="A362" s="114" t="s">
        <v>221</v>
      </c>
      <c r="B362" s="84">
        <v>1</v>
      </c>
      <c r="C362" s="50">
        <v>46052</v>
      </c>
      <c r="D362" s="51" t="s">
        <v>10</v>
      </c>
      <c r="E362" s="51" t="s">
        <v>222</v>
      </c>
      <c r="F362" s="51">
        <v>6.6</v>
      </c>
      <c r="G362" s="57">
        <f>F362/SUM($F$362:$F$363)</f>
        <v>0.9375</v>
      </c>
      <c r="H362" s="53" t="s">
        <v>223</v>
      </c>
      <c r="I362" s="54" t="s">
        <v>224</v>
      </c>
    </row>
    <row r="363" spans="1:9" ht="16" thickBot="1" x14ac:dyDescent="0.25">
      <c r="A363" s="115"/>
      <c r="B363" s="49">
        <v>2</v>
      </c>
      <c r="C363" s="59"/>
      <c r="D363" s="59" t="s">
        <v>10</v>
      </c>
      <c r="E363" s="59" t="s">
        <v>225</v>
      </c>
      <c r="F363" s="105">
        <v>0.44</v>
      </c>
      <c r="G363" s="60">
        <f>F363/SUM($F$362:$F$363)</f>
        <v>6.25E-2</v>
      </c>
      <c r="H363" s="85" t="s">
        <v>223</v>
      </c>
      <c r="I363" s="62" t="s">
        <v>224</v>
      </c>
    </row>
    <row r="364" spans="1:9" ht="16" thickTop="1" x14ac:dyDescent="0.2">
      <c r="A364" s="115"/>
      <c r="B364" s="15">
        <v>3</v>
      </c>
      <c r="D364" t="s">
        <v>10</v>
      </c>
      <c r="E364" t="s">
        <v>11</v>
      </c>
      <c r="F364" s="31">
        <v>100</v>
      </c>
      <c r="G364" s="32">
        <f>F364/SUM($F$364:$F$367)</f>
        <v>0.29815146094215866</v>
      </c>
      <c r="H364" s="2" t="s">
        <v>226</v>
      </c>
      <c r="I364" s="33" t="s">
        <v>227</v>
      </c>
    </row>
    <row r="365" spans="1:9" x14ac:dyDescent="0.2">
      <c r="A365" s="115"/>
      <c r="B365" s="15">
        <v>4</v>
      </c>
      <c r="D365" t="s">
        <v>10</v>
      </c>
      <c r="E365" t="s">
        <v>14</v>
      </c>
      <c r="F365" s="17">
        <v>17</v>
      </c>
      <c r="G365" s="32">
        <f t="shared" ref="G365:G367" si="20">F365/SUM($F$364:$F$367)</f>
        <v>5.0685748360166968E-2</v>
      </c>
      <c r="H365" s="18"/>
      <c r="I365" s="19"/>
    </row>
    <row r="366" spans="1:9" x14ac:dyDescent="0.2">
      <c r="A366" s="115"/>
      <c r="B366" s="15">
        <v>5</v>
      </c>
      <c r="D366" t="s">
        <v>10</v>
      </c>
      <c r="E366" t="s">
        <v>15</v>
      </c>
      <c r="F366" s="17">
        <v>168</v>
      </c>
      <c r="G366" s="32">
        <f t="shared" si="20"/>
        <v>0.50089445438282654</v>
      </c>
      <c r="H366" s="18"/>
      <c r="I366" s="19"/>
    </row>
    <row r="367" spans="1:9" x14ac:dyDescent="0.2">
      <c r="A367" s="115"/>
      <c r="B367" s="15">
        <v>6</v>
      </c>
      <c r="D367" t="s">
        <v>10</v>
      </c>
      <c r="E367" t="s">
        <v>16</v>
      </c>
      <c r="F367" s="17">
        <v>50.4</v>
      </c>
      <c r="G367" s="32">
        <f t="shared" si="20"/>
        <v>0.15026833631484796</v>
      </c>
      <c r="H367" s="18"/>
      <c r="I367" s="19"/>
    </row>
    <row r="368" spans="1:9" ht="16" thickBot="1" x14ac:dyDescent="0.25">
      <c r="A368" s="115"/>
      <c r="B368" s="15">
        <v>7</v>
      </c>
      <c r="C368" s="44"/>
      <c r="D368" s="44" t="s">
        <v>17</v>
      </c>
      <c r="E368" s="44" t="s">
        <v>18</v>
      </c>
      <c r="F368" s="27">
        <v>20</v>
      </c>
      <c r="G368" s="20" t="s">
        <v>19</v>
      </c>
      <c r="H368" s="28" t="s">
        <v>226</v>
      </c>
      <c r="I368" s="29" t="s">
        <v>227</v>
      </c>
    </row>
    <row r="369" spans="1:9" ht="16" thickTop="1" x14ac:dyDescent="0.2">
      <c r="A369" s="115"/>
      <c r="B369" s="15">
        <v>8</v>
      </c>
      <c r="D369" t="s">
        <v>10</v>
      </c>
      <c r="E369" t="s">
        <v>228</v>
      </c>
      <c r="F369" s="31">
        <v>200</v>
      </c>
      <c r="G369" s="32">
        <f>F369/SUM($F$369:$F$379)</f>
        <v>0.28651119614126719</v>
      </c>
      <c r="H369" s="2" t="s">
        <v>229</v>
      </c>
      <c r="I369" s="33" t="s">
        <v>230</v>
      </c>
    </row>
    <row r="370" spans="1:9" x14ac:dyDescent="0.2">
      <c r="A370" s="115"/>
      <c r="B370" s="15">
        <v>9</v>
      </c>
      <c r="D370" t="s">
        <v>10</v>
      </c>
      <c r="E370" t="s">
        <v>37</v>
      </c>
      <c r="F370" s="17">
        <v>3.1</v>
      </c>
      <c r="G370" s="32">
        <f t="shared" ref="G370:G379" si="21">F370/SUM($F$369:$F$379)</f>
        <v>4.4409235401896415E-3</v>
      </c>
      <c r="H370" s="18"/>
      <c r="I370" s="19"/>
    </row>
    <row r="371" spans="1:9" x14ac:dyDescent="0.2">
      <c r="A371" s="115"/>
      <c r="B371" s="15">
        <v>10</v>
      </c>
      <c r="D371" t="s">
        <v>10</v>
      </c>
      <c r="E371" t="s">
        <v>38</v>
      </c>
      <c r="F371" s="17">
        <v>50</v>
      </c>
      <c r="G371" s="32">
        <f t="shared" si="21"/>
        <v>7.1627799035316797E-2</v>
      </c>
      <c r="H371" s="18"/>
      <c r="I371" s="19"/>
    </row>
    <row r="372" spans="1:9" x14ac:dyDescent="0.2">
      <c r="A372" s="115"/>
      <c r="B372" s="15">
        <v>11</v>
      </c>
      <c r="D372" t="s">
        <v>10</v>
      </c>
      <c r="E372" t="s">
        <v>89</v>
      </c>
      <c r="F372" s="17">
        <v>0.82</v>
      </c>
      <c r="G372" s="32">
        <f t="shared" si="21"/>
        <v>1.1746959041791954E-3</v>
      </c>
      <c r="H372" s="18"/>
      <c r="I372" s="19"/>
    </row>
    <row r="373" spans="1:9" x14ac:dyDescent="0.2">
      <c r="A373" s="115"/>
      <c r="B373" s="15">
        <v>12</v>
      </c>
      <c r="D373" t="s">
        <v>10</v>
      </c>
      <c r="E373" t="s">
        <v>79</v>
      </c>
      <c r="F373" s="17">
        <v>101</v>
      </c>
      <c r="G373" s="32">
        <f t="shared" si="21"/>
        <v>0.14468815405133995</v>
      </c>
      <c r="H373" s="18"/>
      <c r="I373" s="19"/>
    </row>
    <row r="374" spans="1:9" x14ac:dyDescent="0.2">
      <c r="A374" s="115"/>
      <c r="B374" s="15">
        <v>13</v>
      </c>
      <c r="D374" t="s">
        <v>10</v>
      </c>
      <c r="E374" t="s">
        <v>231</v>
      </c>
      <c r="F374" s="17">
        <v>244</v>
      </c>
      <c r="G374" s="32">
        <f t="shared" si="21"/>
        <v>0.34954365929234599</v>
      </c>
      <c r="H374" s="18"/>
      <c r="I374" s="19"/>
    </row>
    <row r="375" spans="1:9" x14ac:dyDescent="0.2">
      <c r="A375" s="115"/>
      <c r="B375" s="15">
        <v>14</v>
      </c>
      <c r="D375" t="s">
        <v>10</v>
      </c>
      <c r="E375" t="s">
        <v>43</v>
      </c>
      <c r="F375" s="17">
        <v>8.6</v>
      </c>
      <c r="G375" s="32">
        <f t="shared" si="21"/>
        <v>1.2319981434074489E-2</v>
      </c>
      <c r="H375" s="18"/>
      <c r="I375" s="19"/>
    </row>
    <row r="376" spans="1:9" x14ac:dyDescent="0.2">
      <c r="A376" s="115"/>
      <c r="B376" s="15">
        <v>15</v>
      </c>
      <c r="D376" t="s">
        <v>10</v>
      </c>
      <c r="E376" t="s">
        <v>15</v>
      </c>
      <c r="F376" s="17">
        <v>46</v>
      </c>
      <c r="G376" s="32">
        <f t="shared" si="21"/>
        <v>6.589757511249146E-2</v>
      </c>
      <c r="H376" s="18"/>
      <c r="I376" s="19"/>
    </row>
    <row r="377" spans="1:9" x14ac:dyDescent="0.2">
      <c r="A377" s="115"/>
      <c r="B377" s="15">
        <v>16</v>
      </c>
      <c r="D377" t="s">
        <v>10</v>
      </c>
      <c r="E377" t="s">
        <v>149</v>
      </c>
      <c r="F377" s="17">
        <v>39</v>
      </c>
      <c r="G377" s="32">
        <f t="shared" si="21"/>
        <v>5.5869683247547104E-2</v>
      </c>
      <c r="H377" s="18"/>
      <c r="I377" s="19"/>
    </row>
    <row r="378" spans="1:9" x14ac:dyDescent="0.2">
      <c r="A378" s="115"/>
      <c r="B378" s="15">
        <v>17</v>
      </c>
      <c r="D378" t="s">
        <v>10</v>
      </c>
      <c r="E378" t="s">
        <v>141</v>
      </c>
      <c r="F378" s="17">
        <v>0.13300000000000001</v>
      </c>
      <c r="G378" s="32">
        <f t="shared" si="21"/>
        <v>1.9052994543394271E-4</v>
      </c>
      <c r="H378" s="18"/>
      <c r="I378" s="19"/>
    </row>
    <row r="379" spans="1:9" x14ac:dyDescent="0.2">
      <c r="A379" s="115"/>
      <c r="B379" s="15">
        <v>18</v>
      </c>
      <c r="D379" t="s">
        <v>10</v>
      </c>
      <c r="E379" t="s">
        <v>11</v>
      </c>
      <c r="F379" s="17">
        <v>5.4</v>
      </c>
      <c r="G379" s="32">
        <f t="shared" si="21"/>
        <v>7.7358022958142151E-3</v>
      </c>
      <c r="H379" s="18"/>
      <c r="I379" s="19"/>
    </row>
    <row r="380" spans="1:9" ht="16" thickBot="1" x14ac:dyDescent="0.25">
      <c r="A380" s="115"/>
      <c r="B380" s="15">
        <v>19</v>
      </c>
      <c r="C380" s="103">
        <v>46052</v>
      </c>
      <c r="D380" s="44" t="s">
        <v>17</v>
      </c>
      <c r="E380" s="44" t="s">
        <v>46</v>
      </c>
      <c r="F380" s="27">
        <v>118</v>
      </c>
      <c r="G380" s="20" t="s">
        <v>19</v>
      </c>
      <c r="H380" s="28" t="s">
        <v>229</v>
      </c>
      <c r="I380" s="29" t="s">
        <v>230</v>
      </c>
    </row>
    <row r="381" spans="1:9" ht="16" thickTop="1" x14ac:dyDescent="0.2">
      <c r="A381" s="115"/>
      <c r="B381" s="15">
        <v>20</v>
      </c>
      <c r="C381" s="30">
        <v>46052</v>
      </c>
      <c r="D381" t="s">
        <v>10</v>
      </c>
      <c r="E381" t="s">
        <v>136</v>
      </c>
      <c r="F381" s="31">
        <v>725</v>
      </c>
      <c r="G381" s="32">
        <f>F381/SUM($F$381:$F$394)</f>
        <v>0.5670095836350868</v>
      </c>
      <c r="H381" s="2" t="s">
        <v>232</v>
      </c>
      <c r="I381" s="33" t="s">
        <v>233</v>
      </c>
    </row>
    <row r="382" spans="1:9" x14ac:dyDescent="0.2">
      <c r="A382" s="115"/>
      <c r="B382" s="15">
        <v>21</v>
      </c>
      <c r="D382" t="s">
        <v>10</v>
      </c>
      <c r="E382" t="s">
        <v>37</v>
      </c>
      <c r="F382" s="17">
        <v>7.5</v>
      </c>
      <c r="G382" s="32">
        <f t="shared" ref="G382:G394" si="22">F382/SUM($F$381:$F$394)</f>
        <v>5.8656163824319331E-3</v>
      </c>
      <c r="H382" s="18"/>
      <c r="I382" s="19"/>
    </row>
    <row r="383" spans="1:9" x14ac:dyDescent="0.2">
      <c r="A383" s="115"/>
      <c r="B383" s="15">
        <v>22</v>
      </c>
      <c r="D383" t="s">
        <v>10</v>
      </c>
      <c r="E383" t="s">
        <v>43</v>
      </c>
      <c r="F383" s="17">
        <v>2.5</v>
      </c>
      <c r="G383" s="32">
        <f t="shared" si="22"/>
        <v>1.9552054608106442E-3</v>
      </c>
      <c r="H383" s="18"/>
      <c r="I383" s="19"/>
    </row>
    <row r="384" spans="1:9" x14ac:dyDescent="0.2">
      <c r="A384" s="115"/>
      <c r="B384" s="15">
        <v>23</v>
      </c>
      <c r="D384" t="s">
        <v>10</v>
      </c>
      <c r="E384" t="s">
        <v>38</v>
      </c>
      <c r="F384" s="17">
        <v>112.5</v>
      </c>
      <c r="G384" s="32">
        <f t="shared" si="22"/>
        <v>8.7984245736478991E-2</v>
      </c>
      <c r="H384" s="18"/>
      <c r="I384" s="19"/>
    </row>
    <row r="385" spans="1:9" x14ac:dyDescent="0.2">
      <c r="A385" s="115"/>
      <c r="B385" s="15">
        <v>24</v>
      </c>
      <c r="D385" t="s">
        <v>10</v>
      </c>
      <c r="E385" t="s">
        <v>144</v>
      </c>
      <c r="F385" s="17">
        <v>112.5</v>
      </c>
      <c r="G385" s="32">
        <f t="shared" si="22"/>
        <v>8.7984245736478991E-2</v>
      </c>
      <c r="H385" s="18"/>
      <c r="I385" s="19"/>
    </row>
    <row r="386" spans="1:9" x14ac:dyDescent="0.2">
      <c r="A386" s="115"/>
      <c r="B386" s="15">
        <v>25</v>
      </c>
      <c r="D386" t="s">
        <v>10</v>
      </c>
      <c r="E386" t="s">
        <v>180</v>
      </c>
      <c r="F386" s="17">
        <v>77.099999999999994</v>
      </c>
      <c r="G386" s="32">
        <f t="shared" si="22"/>
        <v>6.0298536411400268E-2</v>
      </c>
      <c r="H386" s="18"/>
      <c r="I386" s="19"/>
    </row>
    <row r="387" spans="1:9" x14ac:dyDescent="0.2">
      <c r="A387" s="115"/>
      <c r="B387" s="15">
        <v>26</v>
      </c>
      <c r="D387" t="s">
        <v>10</v>
      </c>
      <c r="E387" t="s">
        <v>22</v>
      </c>
      <c r="F387" s="17">
        <v>52.1</v>
      </c>
      <c r="G387" s="32">
        <f t="shared" si="22"/>
        <v>4.0746481803293828E-2</v>
      </c>
      <c r="H387" s="18"/>
      <c r="I387" s="19"/>
    </row>
    <row r="388" spans="1:9" x14ac:dyDescent="0.2">
      <c r="A388" s="115"/>
      <c r="B388" s="15">
        <v>27</v>
      </c>
      <c r="D388" t="s">
        <v>10</v>
      </c>
      <c r="E388" t="s">
        <v>148</v>
      </c>
      <c r="F388" s="17">
        <v>17.2</v>
      </c>
      <c r="G388" s="32">
        <f t="shared" si="22"/>
        <v>1.3451813570377232E-2</v>
      </c>
      <c r="H388" s="18"/>
      <c r="I388" s="19"/>
    </row>
    <row r="389" spans="1:9" x14ac:dyDescent="0.2">
      <c r="A389" s="115"/>
      <c r="B389" s="15">
        <v>28</v>
      </c>
      <c r="D389" t="s">
        <v>10</v>
      </c>
      <c r="E389" t="s">
        <v>90</v>
      </c>
      <c r="F389" s="17">
        <v>101</v>
      </c>
      <c r="G389" s="32">
        <f t="shared" si="22"/>
        <v>7.8990300616750025E-2</v>
      </c>
      <c r="H389" s="18"/>
      <c r="I389" s="19"/>
    </row>
    <row r="390" spans="1:9" x14ac:dyDescent="0.2">
      <c r="A390" s="115"/>
      <c r="B390" s="15">
        <v>29</v>
      </c>
      <c r="D390" t="s">
        <v>10</v>
      </c>
      <c r="E390" t="s">
        <v>15</v>
      </c>
      <c r="F390" s="17">
        <v>60.1</v>
      </c>
      <c r="G390" s="32">
        <f t="shared" si="22"/>
        <v>4.7003139277887893E-2</v>
      </c>
      <c r="H390" s="18"/>
      <c r="I390" s="19"/>
    </row>
    <row r="391" spans="1:9" x14ac:dyDescent="0.2">
      <c r="A391" s="115"/>
      <c r="B391" s="15">
        <v>30</v>
      </c>
      <c r="D391" t="s">
        <v>10</v>
      </c>
      <c r="E391" t="s">
        <v>23</v>
      </c>
      <c r="F391" s="17">
        <v>3.5</v>
      </c>
      <c r="G391" s="32">
        <f t="shared" si="22"/>
        <v>2.7372876451349018E-3</v>
      </c>
      <c r="H391" s="18"/>
      <c r="I391" s="19"/>
    </row>
    <row r="392" spans="1:9" x14ac:dyDescent="0.2">
      <c r="A392" s="115"/>
      <c r="B392" s="15">
        <v>31</v>
      </c>
      <c r="D392" t="s">
        <v>10</v>
      </c>
      <c r="E392" t="s">
        <v>199</v>
      </c>
      <c r="F392" s="17">
        <v>3.8</v>
      </c>
      <c r="G392" s="32">
        <f t="shared" si="22"/>
        <v>2.9719123004321793E-3</v>
      </c>
      <c r="H392" s="18"/>
      <c r="I392" s="19"/>
    </row>
    <row r="393" spans="1:9" x14ac:dyDescent="0.2">
      <c r="A393" s="115"/>
      <c r="B393" s="15">
        <v>32</v>
      </c>
      <c r="D393" t="s">
        <v>10</v>
      </c>
      <c r="E393" t="s">
        <v>91</v>
      </c>
      <c r="F393" s="17">
        <v>3.8</v>
      </c>
      <c r="G393" s="32">
        <f t="shared" si="22"/>
        <v>2.9719123004321793E-3</v>
      </c>
      <c r="H393" s="18"/>
      <c r="I393" s="19"/>
    </row>
    <row r="394" spans="1:9" x14ac:dyDescent="0.2">
      <c r="A394" s="115"/>
      <c r="B394" s="15">
        <v>33</v>
      </c>
      <c r="D394" t="s">
        <v>10</v>
      </c>
      <c r="E394" t="s">
        <v>141</v>
      </c>
      <c r="F394" s="17">
        <v>3.7999999999999999E-2</v>
      </c>
      <c r="G394" s="32">
        <f t="shared" si="22"/>
        <v>2.9719123004321794E-5</v>
      </c>
      <c r="H394" s="18"/>
      <c r="I394" s="19"/>
    </row>
    <row r="395" spans="1:9" ht="16" thickBot="1" x14ac:dyDescent="0.25">
      <c r="A395" s="115"/>
      <c r="B395" s="15">
        <v>34</v>
      </c>
      <c r="C395" s="44"/>
      <c r="D395" s="44" t="s">
        <v>17</v>
      </c>
      <c r="E395" s="44" t="s">
        <v>45</v>
      </c>
      <c r="F395" s="27">
        <v>73</v>
      </c>
      <c r="G395" s="20" t="s">
        <v>19</v>
      </c>
      <c r="H395" s="28" t="s">
        <v>232</v>
      </c>
      <c r="I395" s="29" t="s">
        <v>233</v>
      </c>
    </row>
    <row r="396" spans="1:9" ht="16" thickTop="1" x14ac:dyDescent="0.2">
      <c r="A396" s="115"/>
      <c r="B396" s="15">
        <v>35</v>
      </c>
      <c r="C396" s="30">
        <v>46055</v>
      </c>
      <c r="D396" t="s">
        <v>10</v>
      </c>
      <c r="E396" t="s">
        <v>94</v>
      </c>
      <c r="F396" s="31">
        <v>180</v>
      </c>
      <c r="G396" s="32">
        <f>F396/SUM($F$396:$F$401)</f>
        <v>0.4993065187239944</v>
      </c>
      <c r="H396" s="2" t="s">
        <v>234</v>
      </c>
      <c r="I396" s="33" t="s">
        <v>235</v>
      </c>
    </row>
    <row r="397" spans="1:9" x14ac:dyDescent="0.2">
      <c r="A397" s="115"/>
      <c r="B397" s="15">
        <v>36</v>
      </c>
      <c r="D397" t="s">
        <v>10</v>
      </c>
      <c r="E397" t="s">
        <v>51</v>
      </c>
      <c r="F397" s="17">
        <v>2.8</v>
      </c>
      <c r="G397" s="32">
        <f t="shared" ref="G397:G401" si="23">F397/SUM($F$396:$F$401)</f>
        <v>7.7669902912621339E-3</v>
      </c>
      <c r="H397" s="18"/>
      <c r="I397" s="19"/>
    </row>
    <row r="398" spans="1:9" x14ac:dyDescent="0.2">
      <c r="A398" s="115"/>
      <c r="B398" s="15">
        <v>37</v>
      </c>
      <c r="D398" t="s">
        <v>10</v>
      </c>
      <c r="E398" t="s">
        <v>11</v>
      </c>
      <c r="F398" s="17">
        <v>121.4</v>
      </c>
      <c r="G398" s="32">
        <f t="shared" si="23"/>
        <v>0.33675450762829401</v>
      </c>
      <c r="H398" s="18"/>
      <c r="I398" s="19"/>
    </row>
    <row r="399" spans="1:9" x14ac:dyDescent="0.2">
      <c r="A399" s="115"/>
      <c r="B399" s="15">
        <v>38</v>
      </c>
      <c r="D399" t="s">
        <v>10</v>
      </c>
      <c r="E399" t="s">
        <v>23</v>
      </c>
      <c r="F399" s="17">
        <v>10.3</v>
      </c>
      <c r="G399" s="32">
        <f t="shared" si="23"/>
        <v>2.8571428571428571E-2</v>
      </c>
      <c r="H399" s="18"/>
      <c r="I399" s="19"/>
    </row>
    <row r="400" spans="1:9" x14ac:dyDescent="0.2">
      <c r="A400" s="115"/>
      <c r="B400" s="15">
        <v>39</v>
      </c>
      <c r="D400" t="s">
        <v>10</v>
      </c>
      <c r="E400" t="s">
        <v>15</v>
      </c>
      <c r="F400" s="17">
        <v>28.8</v>
      </c>
      <c r="G400" s="32">
        <f t="shared" si="23"/>
        <v>7.9889042995839099E-2</v>
      </c>
      <c r="H400" s="18"/>
      <c r="I400" s="19"/>
    </row>
    <row r="401" spans="1:9" ht="16" thickBot="1" x14ac:dyDescent="0.25">
      <c r="A401" s="116"/>
      <c r="B401" s="38">
        <v>40</v>
      </c>
      <c r="C401" s="104">
        <v>46055</v>
      </c>
      <c r="D401" s="40" t="s">
        <v>10</v>
      </c>
      <c r="E401" s="40" t="s">
        <v>97</v>
      </c>
      <c r="F401" s="106">
        <v>17.2</v>
      </c>
      <c r="G401" s="32">
        <f t="shared" si="23"/>
        <v>4.7711511789181683E-2</v>
      </c>
      <c r="H401" s="68"/>
      <c r="I401" s="69"/>
    </row>
    <row r="402" spans="1:9" ht="16" thickBot="1" x14ac:dyDescent="0.25">
      <c r="A402" s="114" t="s">
        <v>236</v>
      </c>
      <c r="B402" s="8">
        <v>1</v>
      </c>
      <c r="C402" s="107">
        <v>46055</v>
      </c>
      <c r="D402" s="108" t="s">
        <v>17</v>
      </c>
      <c r="E402" s="108" t="s">
        <v>193</v>
      </c>
      <c r="F402" s="109">
        <v>104</v>
      </c>
      <c r="G402" s="110" t="s">
        <v>19</v>
      </c>
      <c r="H402" s="111" t="s">
        <v>234</v>
      </c>
      <c r="I402" s="112" t="s">
        <v>235</v>
      </c>
    </row>
    <row r="403" spans="1:9" ht="16" thickTop="1" x14ac:dyDescent="0.2">
      <c r="A403" s="115"/>
      <c r="B403" s="15">
        <v>2</v>
      </c>
      <c r="D403" t="s">
        <v>10</v>
      </c>
      <c r="E403" t="s">
        <v>25</v>
      </c>
      <c r="F403" s="31">
        <v>214.8</v>
      </c>
      <c r="G403" s="32">
        <f>F403/SUM($F$403:$F$404)</f>
        <v>0.59866220735785958</v>
      </c>
      <c r="H403" s="2" t="s">
        <v>237</v>
      </c>
      <c r="I403" s="33" t="s">
        <v>238</v>
      </c>
    </row>
    <row r="404" spans="1:9" x14ac:dyDescent="0.2">
      <c r="A404" s="115"/>
      <c r="B404" s="15">
        <v>3</v>
      </c>
      <c r="D404" t="s">
        <v>10</v>
      </c>
      <c r="E404" t="s">
        <v>15</v>
      </c>
      <c r="F404" s="17">
        <v>144</v>
      </c>
      <c r="G404" s="32">
        <f>F404/SUM($F$403:$F$404)</f>
        <v>0.40133779264214048</v>
      </c>
      <c r="H404" s="18"/>
      <c r="I404" s="19"/>
    </row>
    <row r="405" spans="1:9" ht="16" thickBot="1" x14ac:dyDescent="0.25">
      <c r="A405" s="115"/>
      <c r="B405" s="15">
        <v>4</v>
      </c>
      <c r="C405" s="44"/>
      <c r="D405" s="44" t="s">
        <v>10</v>
      </c>
      <c r="E405" s="44" t="s">
        <v>28</v>
      </c>
      <c r="F405" s="27">
        <v>98</v>
      </c>
      <c r="G405" s="20" t="s">
        <v>19</v>
      </c>
      <c r="H405" s="28" t="s">
        <v>237</v>
      </c>
      <c r="I405" s="29" t="s">
        <v>238</v>
      </c>
    </row>
    <row r="406" spans="1:9" ht="16" thickTop="1" x14ac:dyDescent="0.2">
      <c r="A406" s="115"/>
      <c r="B406" s="15">
        <v>5</v>
      </c>
      <c r="D406" t="s">
        <v>10</v>
      </c>
      <c r="E406" t="s">
        <v>15</v>
      </c>
      <c r="F406" s="31">
        <v>88.35</v>
      </c>
      <c r="G406" s="32">
        <f>F406/SUM($F$406:$F$408)</f>
        <v>0.93779853518734724</v>
      </c>
      <c r="H406" s="2" t="s">
        <v>239</v>
      </c>
      <c r="I406" s="33" t="s">
        <v>240</v>
      </c>
    </row>
    <row r="407" spans="1:9" x14ac:dyDescent="0.2">
      <c r="A407" s="115"/>
      <c r="B407" s="15">
        <v>6</v>
      </c>
      <c r="D407" t="s">
        <v>10</v>
      </c>
      <c r="E407" t="s">
        <v>22</v>
      </c>
      <c r="F407" s="17">
        <v>2.93</v>
      </c>
      <c r="G407" s="32">
        <f t="shared" ref="G407:G408" si="24">F407/SUM($F$406:$F$408)</f>
        <v>3.1100732406326291E-2</v>
      </c>
      <c r="H407" s="18"/>
      <c r="I407" s="19"/>
    </row>
    <row r="408" spans="1:9" x14ac:dyDescent="0.2">
      <c r="A408" s="115"/>
      <c r="B408" s="15">
        <v>7</v>
      </c>
      <c r="D408" t="s">
        <v>10</v>
      </c>
      <c r="E408" t="s">
        <v>23</v>
      </c>
      <c r="F408" s="17">
        <v>2.93</v>
      </c>
      <c r="G408" s="32">
        <f t="shared" si="24"/>
        <v>3.1100732406326291E-2</v>
      </c>
      <c r="H408" s="18"/>
      <c r="I408" s="19"/>
    </row>
    <row r="409" spans="1:9" x14ac:dyDescent="0.2">
      <c r="A409" s="115"/>
      <c r="B409" s="15">
        <v>8</v>
      </c>
      <c r="D409" t="s">
        <v>17</v>
      </c>
      <c r="E409" t="s">
        <v>18</v>
      </c>
      <c r="F409" s="17">
        <v>5</v>
      </c>
      <c r="G409" s="32" t="s">
        <v>19</v>
      </c>
      <c r="H409" s="18"/>
      <c r="I409" s="19"/>
    </row>
    <row r="410" spans="1:9" ht="16" thickBot="1" x14ac:dyDescent="0.25">
      <c r="A410" s="115"/>
      <c r="B410" s="15">
        <v>9</v>
      </c>
      <c r="C410" s="44"/>
      <c r="D410" s="44" t="s">
        <v>17</v>
      </c>
      <c r="E410" s="44" t="s">
        <v>193</v>
      </c>
      <c r="F410" s="27">
        <v>3</v>
      </c>
      <c r="G410" s="20" t="s">
        <v>19</v>
      </c>
      <c r="H410" s="28" t="s">
        <v>239</v>
      </c>
      <c r="I410" s="29" t="s">
        <v>240</v>
      </c>
    </row>
    <row r="411" spans="1:9" ht="16" thickTop="1" x14ac:dyDescent="0.2">
      <c r="A411" s="115"/>
      <c r="B411" s="15">
        <v>10</v>
      </c>
      <c r="D411" t="s">
        <v>10</v>
      </c>
      <c r="E411" t="s">
        <v>73</v>
      </c>
      <c r="F411" s="31">
        <v>123</v>
      </c>
      <c r="G411" s="32">
        <f>F411/SUM($F$411:$F$423)</f>
        <v>0.50619367052142061</v>
      </c>
      <c r="H411" s="2" t="s">
        <v>241</v>
      </c>
      <c r="I411" s="33" t="s">
        <v>242</v>
      </c>
    </row>
    <row r="412" spans="1:9" x14ac:dyDescent="0.2">
      <c r="A412" s="115"/>
      <c r="B412" s="15">
        <v>11</v>
      </c>
      <c r="D412" t="s">
        <v>10</v>
      </c>
      <c r="E412" t="s">
        <v>55</v>
      </c>
      <c r="F412" s="17">
        <v>50.45</v>
      </c>
      <c r="G412" s="32">
        <f t="shared" ref="G412:G423" si="25">F412/SUM($F$411:$F$423)</f>
        <v>0.20762171282768838</v>
      </c>
      <c r="H412" s="18"/>
      <c r="I412" s="19"/>
    </row>
    <row r="413" spans="1:9" x14ac:dyDescent="0.2">
      <c r="A413" s="115"/>
      <c r="B413" s="15">
        <v>12</v>
      </c>
      <c r="D413" t="s">
        <v>10</v>
      </c>
      <c r="E413" t="s">
        <v>119</v>
      </c>
      <c r="F413" s="17">
        <v>1.1499999999999999</v>
      </c>
      <c r="G413" s="32">
        <f t="shared" si="25"/>
        <v>4.7327050495905177E-3</v>
      </c>
      <c r="H413" s="18"/>
      <c r="I413" s="19"/>
    </row>
    <row r="414" spans="1:9" x14ac:dyDescent="0.2">
      <c r="A414" s="115"/>
      <c r="B414" s="15">
        <v>13</v>
      </c>
      <c r="D414" t="s">
        <v>10</v>
      </c>
      <c r="E414" t="s">
        <v>76</v>
      </c>
      <c r="F414" s="17">
        <v>1.05</v>
      </c>
      <c r="G414" s="32">
        <f t="shared" si="25"/>
        <v>4.3211654800609078E-3</v>
      </c>
      <c r="H414" s="18"/>
      <c r="I414" s="19"/>
    </row>
    <row r="415" spans="1:9" x14ac:dyDescent="0.2">
      <c r="A415" s="115"/>
      <c r="B415" s="15">
        <v>14</v>
      </c>
      <c r="D415" t="s">
        <v>10</v>
      </c>
      <c r="E415" t="s">
        <v>77</v>
      </c>
      <c r="F415" s="17">
        <v>2.25</v>
      </c>
      <c r="G415" s="32">
        <f t="shared" si="25"/>
        <v>9.2596403144162304E-3</v>
      </c>
      <c r="H415" s="18"/>
      <c r="I415" s="19"/>
    </row>
    <row r="416" spans="1:9" x14ac:dyDescent="0.2">
      <c r="A416" s="115"/>
      <c r="B416" s="15">
        <v>15</v>
      </c>
      <c r="D416" t="s">
        <v>10</v>
      </c>
      <c r="E416" t="s">
        <v>243</v>
      </c>
      <c r="F416" s="17">
        <v>24.55</v>
      </c>
      <c r="G416" s="32">
        <f t="shared" si="25"/>
        <v>0.10103296431951932</v>
      </c>
      <c r="H416" s="18"/>
      <c r="I416" s="19"/>
    </row>
    <row r="417" spans="1:9" x14ac:dyDescent="0.2">
      <c r="A417" s="115"/>
      <c r="B417" s="15">
        <v>16</v>
      </c>
      <c r="D417" t="s">
        <v>10</v>
      </c>
      <c r="E417" t="s">
        <v>90</v>
      </c>
      <c r="F417" s="17">
        <v>17</v>
      </c>
      <c r="G417" s="32">
        <f t="shared" si="25"/>
        <v>6.9961726820033737E-2</v>
      </c>
      <c r="H417" s="18"/>
      <c r="I417" s="19"/>
    </row>
    <row r="418" spans="1:9" x14ac:dyDescent="0.2">
      <c r="A418" s="115"/>
      <c r="B418" s="15">
        <v>17</v>
      </c>
      <c r="D418" t="s">
        <v>10</v>
      </c>
      <c r="E418" t="s">
        <v>15</v>
      </c>
      <c r="F418" s="17">
        <v>7</v>
      </c>
      <c r="G418" s="32">
        <f t="shared" si="25"/>
        <v>2.880776986707272E-2</v>
      </c>
      <c r="H418" s="18"/>
      <c r="I418" s="19"/>
    </row>
    <row r="419" spans="1:9" x14ac:dyDescent="0.2">
      <c r="A419" s="115"/>
      <c r="B419" s="15">
        <v>18</v>
      </c>
      <c r="D419" t="s">
        <v>10</v>
      </c>
      <c r="E419" t="s">
        <v>187</v>
      </c>
      <c r="F419" s="17">
        <v>14</v>
      </c>
      <c r="G419" s="32">
        <f t="shared" si="25"/>
        <v>5.7615539734145439E-2</v>
      </c>
      <c r="H419" s="18"/>
      <c r="I419" s="19"/>
    </row>
    <row r="420" spans="1:9" x14ac:dyDescent="0.2">
      <c r="A420" s="115"/>
      <c r="B420" s="15">
        <v>19</v>
      </c>
      <c r="D420" t="s">
        <v>10</v>
      </c>
      <c r="E420" t="s">
        <v>80</v>
      </c>
      <c r="F420" s="17">
        <v>0.33200000000000002</v>
      </c>
      <c r="G420" s="32">
        <f t="shared" si="25"/>
        <v>1.3663113708383061E-3</v>
      </c>
      <c r="H420" s="18"/>
      <c r="I420" s="19"/>
    </row>
    <row r="421" spans="1:9" x14ac:dyDescent="0.2">
      <c r="A421" s="115"/>
      <c r="B421" s="15">
        <v>20</v>
      </c>
      <c r="D421" t="s">
        <v>10</v>
      </c>
      <c r="E421" t="s">
        <v>81</v>
      </c>
      <c r="F421" s="17">
        <v>0.66500000000000004</v>
      </c>
      <c r="G421" s="32">
        <f t="shared" si="25"/>
        <v>2.7367381373719084E-3</v>
      </c>
      <c r="H421" s="18"/>
      <c r="I421" s="19"/>
    </row>
    <row r="422" spans="1:9" x14ac:dyDescent="0.2">
      <c r="A422" s="115"/>
      <c r="B422" s="15">
        <v>21</v>
      </c>
      <c r="D422" t="s">
        <v>10</v>
      </c>
      <c r="E422" t="s">
        <v>83</v>
      </c>
      <c r="F422" s="17">
        <v>0.443</v>
      </c>
      <c r="G422" s="32">
        <f t="shared" si="25"/>
        <v>1.8231202930161735E-3</v>
      </c>
      <c r="H422" s="18"/>
      <c r="I422" s="19"/>
    </row>
    <row r="423" spans="1:9" x14ac:dyDescent="0.2">
      <c r="A423" s="115"/>
      <c r="B423" s="15">
        <v>22</v>
      </c>
      <c r="D423" t="s">
        <v>10</v>
      </c>
      <c r="E423" s="16" t="s">
        <v>82</v>
      </c>
      <c r="F423" s="17">
        <v>1.1000000000000001</v>
      </c>
      <c r="G423" s="32">
        <f t="shared" si="25"/>
        <v>4.5269352648257136E-3</v>
      </c>
      <c r="H423" s="18"/>
      <c r="I423" s="19"/>
    </row>
    <row r="424" spans="1:9" ht="16" thickBot="1" x14ac:dyDescent="0.25">
      <c r="A424" s="115"/>
      <c r="B424" s="15">
        <v>23</v>
      </c>
      <c r="C424" s="103">
        <v>46055</v>
      </c>
      <c r="D424" s="44" t="s">
        <v>17</v>
      </c>
      <c r="E424" s="44" t="s">
        <v>45</v>
      </c>
      <c r="F424" s="27">
        <v>12</v>
      </c>
      <c r="G424" s="20" t="s">
        <v>19</v>
      </c>
      <c r="H424" s="28" t="s">
        <v>241</v>
      </c>
      <c r="I424" s="29" t="s">
        <v>242</v>
      </c>
    </row>
    <row r="425" spans="1:9" ht="16" thickTop="1" x14ac:dyDescent="0.2">
      <c r="A425" s="115"/>
      <c r="B425" s="49">
        <v>24</v>
      </c>
      <c r="C425" s="50">
        <v>46055</v>
      </c>
      <c r="D425" s="51" t="s">
        <v>10</v>
      </c>
      <c r="E425" s="51" t="s">
        <v>150</v>
      </c>
      <c r="F425" s="51">
        <v>8.8000000000000007</v>
      </c>
      <c r="G425" s="57">
        <f>F425/SUM($F$425:$F$428)</f>
        <v>9.2602336104388089E-2</v>
      </c>
      <c r="H425" s="53" t="s">
        <v>244</v>
      </c>
      <c r="I425" s="54" t="s">
        <v>245</v>
      </c>
    </row>
    <row r="426" spans="1:9" x14ac:dyDescent="0.2">
      <c r="A426" s="115"/>
      <c r="B426" s="49">
        <v>25</v>
      </c>
      <c r="C426" s="51"/>
      <c r="D426" s="51" t="s">
        <v>10</v>
      </c>
      <c r="E426" s="51" t="s">
        <v>103</v>
      </c>
      <c r="F426" s="58">
        <v>49.5</v>
      </c>
      <c r="G426" s="57">
        <f t="shared" ref="G426:G428" si="26">F426/SUM($F$425:$F$428)</f>
        <v>0.52088814058718302</v>
      </c>
      <c r="H426" s="55"/>
      <c r="I426" s="56"/>
    </row>
    <row r="427" spans="1:9" x14ac:dyDescent="0.2">
      <c r="A427" s="115"/>
      <c r="B427" s="49">
        <v>26</v>
      </c>
      <c r="C427" s="51"/>
      <c r="D427" s="51" t="s">
        <v>10</v>
      </c>
      <c r="E427" s="51" t="s">
        <v>102</v>
      </c>
      <c r="F427" s="58">
        <v>31.6</v>
      </c>
      <c r="G427" s="57">
        <f t="shared" si="26"/>
        <v>0.33252657055666635</v>
      </c>
      <c r="H427" s="55"/>
      <c r="I427" s="56"/>
    </row>
    <row r="428" spans="1:9" ht="16" thickBot="1" x14ac:dyDescent="0.25">
      <c r="A428" s="115"/>
      <c r="B428" s="49">
        <v>27</v>
      </c>
      <c r="C428" s="59"/>
      <c r="D428" s="59" t="s">
        <v>10</v>
      </c>
      <c r="E428" s="59" t="s">
        <v>246</v>
      </c>
      <c r="F428" s="105">
        <v>5.13</v>
      </c>
      <c r="G428" s="60">
        <f t="shared" si="26"/>
        <v>5.3982952751762597E-2</v>
      </c>
      <c r="H428" s="85" t="s">
        <v>244</v>
      </c>
      <c r="I428" s="62" t="s">
        <v>245</v>
      </c>
    </row>
    <row r="429" spans="1:9" ht="16" thickTop="1" x14ac:dyDescent="0.2">
      <c r="A429" s="115"/>
      <c r="B429" s="15">
        <v>28</v>
      </c>
      <c r="C429" s="30">
        <v>46057</v>
      </c>
      <c r="D429" t="s">
        <v>10</v>
      </c>
      <c r="E429" t="s">
        <v>73</v>
      </c>
      <c r="F429" s="31">
        <v>83.8</v>
      </c>
      <c r="G429" s="32">
        <f>F429/SUM($F$429:$F$441)</f>
        <v>0.51300887664524031</v>
      </c>
      <c r="H429" s="2" t="s">
        <v>247</v>
      </c>
      <c r="I429" s="33" t="s">
        <v>248</v>
      </c>
    </row>
    <row r="430" spans="1:9" x14ac:dyDescent="0.2">
      <c r="A430" s="115"/>
      <c r="B430" s="15">
        <v>29</v>
      </c>
      <c r="D430" t="s">
        <v>10</v>
      </c>
      <c r="E430" t="s">
        <v>15</v>
      </c>
      <c r="F430" s="17">
        <v>24.15</v>
      </c>
      <c r="G430" s="32">
        <f t="shared" ref="G430:G441" si="27">F430/SUM($F$429:$F$441)</f>
        <v>0.14784205693296601</v>
      </c>
      <c r="H430" s="18"/>
      <c r="I430" s="19"/>
    </row>
    <row r="431" spans="1:9" x14ac:dyDescent="0.2">
      <c r="A431" s="115"/>
      <c r="B431" s="15">
        <v>30</v>
      </c>
      <c r="D431" t="s">
        <v>10</v>
      </c>
      <c r="E431" t="s">
        <v>37</v>
      </c>
      <c r="F431" s="17">
        <v>0.75</v>
      </c>
      <c r="G431" s="32">
        <f t="shared" si="27"/>
        <v>4.5913682277318639E-3</v>
      </c>
      <c r="H431" s="18"/>
      <c r="I431" s="19"/>
    </row>
    <row r="432" spans="1:9" x14ac:dyDescent="0.2">
      <c r="A432" s="115"/>
      <c r="B432" s="15">
        <v>31</v>
      </c>
      <c r="D432" t="s">
        <v>10</v>
      </c>
      <c r="E432" t="s">
        <v>76</v>
      </c>
      <c r="F432" s="17">
        <v>0.35</v>
      </c>
      <c r="G432" s="32">
        <f t="shared" si="27"/>
        <v>2.1426385062748698E-3</v>
      </c>
      <c r="H432" s="18"/>
      <c r="I432" s="19"/>
    </row>
    <row r="433" spans="1:9" x14ac:dyDescent="0.2">
      <c r="A433" s="115"/>
      <c r="B433" s="15">
        <v>32</v>
      </c>
      <c r="D433" t="s">
        <v>10</v>
      </c>
      <c r="E433" t="s">
        <v>77</v>
      </c>
      <c r="F433" s="17">
        <v>2</v>
      </c>
      <c r="G433" s="32">
        <f t="shared" si="27"/>
        <v>1.2243648607284972E-2</v>
      </c>
      <c r="H433" s="18"/>
      <c r="I433" s="19"/>
    </row>
    <row r="434" spans="1:9" x14ac:dyDescent="0.2">
      <c r="A434" s="115"/>
      <c r="B434" s="15">
        <v>33</v>
      </c>
      <c r="D434" t="s">
        <v>10</v>
      </c>
      <c r="E434" t="s">
        <v>121</v>
      </c>
      <c r="F434" s="17">
        <v>30</v>
      </c>
      <c r="G434" s="32">
        <f t="shared" si="27"/>
        <v>0.18365472910927458</v>
      </c>
      <c r="H434" s="18"/>
      <c r="I434" s="19"/>
    </row>
    <row r="435" spans="1:9" x14ac:dyDescent="0.2">
      <c r="A435" s="115"/>
      <c r="B435" s="15">
        <v>34</v>
      </c>
      <c r="D435" t="s">
        <v>10</v>
      </c>
      <c r="E435" t="s">
        <v>90</v>
      </c>
      <c r="F435" s="17">
        <v>5</v>
      </c>
      <c r="G435" s="32">
        <f t="shared" si="27"/>
        <v>3.0609121518212427E-2</v>
      </c>
      <c r="H435" s="18"/>
      <c r="I435" s="19"/>
    </row>
    <row r="436" spans="1:9" x14ac:dyDescent="0.2">
      <c r="A436" s="115"/>
      <c r="B436" s="15">
        <v>35</v>
      </c>
      <c r="D436" t="s">
        <v>10</v>
      </c>
      <c r="E436" t="s">
        <v>187</v>
      </c>
      <c r="F436" s="17">
        <v>9</v>
      </c>
      <c r="G436" s="32">
        <f t="shared" si="27"/>
        <v>5.5096418732782371E-2</v>
      </c>
      <c r="H436" s="18"/>
      <c r="I436" s="19"/>
    </row>
    <row r="437" spans="1:9" x14ac:dyDescent="0.2">
      <c r="A437" s="115"/>
      <c r="B437" s="15">
        <v>36</v>
      </c>
      <c r="D437" t="s">
        <v>10</v>
      </c>
      <c r="E437" t="s">
        <v>55</v>
      </c>
      <c r="F437" s="17">
        <v>6.5</v>
      </c>
      <c r="G437" s="32">
        <f t="shared" si="27"/>
        <v>3.9791857973676154E-2</v>
      </c>
      <c r="H437" s="18"/>
      <c r="I437" s="19"/>
    </row>
    <row r="438" spans="1:9" x14ac:dyDescent="0.2">
      <c r="A438" s="115"/>
      <c r="B438" s="15">
        <v>37</v>
      </c>
      <c r="D438" t="s">
        <v>10</v>
      </c>
      <c r="E438" t="s">
        <v>80</v>
      </c>
      <c r="F438" s="17">
        <v>0.3</v>
      </c>
      <c r="G438" s="32">
        <f t="shared" si="27"/>
        <v>1.8365472910927456E-3</v>
      </c>
      <c r="H438" s="18"/>
      <c r="I438" s="19"/>
    </row>
    <row r="439" spans="1:9" x14ac:dyDescent="0.2">
      <c r="A439" s="115"/>
      <c r="B439" s="15">
        <v>38</v>
      </c>
      <c r="D439" t="s">
        <v>10</v>
      </c>
      <c r="E439" t="s">
        <v>81</v>
      </c>
      <c r="F439" s="17">
        <v>0.6</v>
      </c>
      <c r="G439" s="32">
        <f t="shared" si="27"/>
        <v>3.6730945821854912E-3</v>
      </c>
      <c r="H439" s="18"/>
      <c r="I439" s="19"/>
    </row>
    <row r="440" spans="1:9" x14ac:dyDescent="0.2">
      <c r="A440" s="115"/>
      <c r="B440" s="15">
        <v>39</v>
      </c>
      <c r="D440" t="s">
        <v>10</v>
      </c>
      <c r="E440" t="s">
        <v>82</v>
      </c>
      <c r="F440" s="17">
        <v>0.5</v>
      </c>
      <c r="G440" s="32">
        <f t="shared" si="27"/>
        <v>3.0609121518212429E-3</v>
      </c>
      <c r="H440" s="18"/>
      <c r="I440" s="19"/>
    </row>
    <row r="441" spans="1:9" x14ac:dyDescent="0.2">
      <c r="A441" s="115"/>
      <c r="B441" s="15">
        <v>40</v>
      </c>
      <c r="D441" t="s">
        <v>10</v>
      </c>
      <c r="E441" t="s">
        <v>83</v>
      </c>
      <c r="F441" s="31">
        <v>0.4</v>
      </c>
      <c r="G441" s="32">
        <f t="shared" si="27"/>
        <v>2.4487297214569946E-3</v>
      </c>
      <c r="I441" s="15"/>
    </row>
    <row r="442" spans="1:9" ht="16" thickBot="1" x14ac:dyDescent="0.25">
      <c r="A442" s="116"/>
      <c r="B442" s="38">
        <v>41</v>
      </c>
      <c r="D442" t="s">
        <v>17</v>
      </c>
      <c r="E442" t="s">
        <v>45</v>
      </c>
      <c r="F442" s="31">
        <v>8</v>
      </c>
      <c r="G442" s="32" t="s">
        <v>19</v>
      </c>
      <c r="H442" s="2" t="s">
        <v>247</v>
      </c>
      <c r="I442" s="33" t="s">
        <v>248</v>
      </c>
    </row>
    <row r="443" spans="1:9" x14ac:dyDescent="0.2">
      <c r="C443" s="16"/>
      <c r="D443" s="16"/>
      <c r="E443" s="16"/>
      <c r="F443" s="16">
        <f>SUBTOTAL(109,Tabla2[CANTIDAD KG])</f>
        <v>15393.343829999993</v>
      </c>
      <c r="G443" s="32"/>
      <c r="H443" s="18"/>
      <c r="I443" s="19"/>
    </row>
  </sheetData>
  <mergeCells count="11">
    <mergeCell ref="A202:A241"/>
    <mergeCell ref="A2:A41"/>
    <mergeCell ref="A42:A81"/>
    <mergeCell ref="A82:A121"/>
    <mergeCell ref="A122:A161"/>
    <mergeCell ref="A162:A201"/>
    <mergeCell ref="A242:A281"/>
    <mergeCell ref="A282:A321"/>
    <mergeCell ref="A322:A361"/>
    <mergeCell ref="A362:A401"/>
    <mergeCell ref="A402:A44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Produccion de enero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BEPRO</dc:creator>
  <cp:lastModifiedBy>Camilo Sarria</cp:lastModifiedBy>
  <dcterms:created xsi:type="dcterms:W3CDTF">2026-01-20T21:10:51Z</dcterms:created>
  <dcterms:modified xsi:type="dcterms:W3CDTF">2026-04-14T18:38:51Z</dcterms:modified>
</cp:coreProperties>
</file>